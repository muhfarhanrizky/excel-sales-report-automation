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Excel\porto maret 2026\"/>
    </mc:Choice>
  </mc:AlternateContent>
  <xr:revisionPtr revIDLastSave="0" documentId="13_ncr:1_{28DFA8AE-8C36-41B2-B717-AB9F43DEEB17}" xr6:coauthVersionLast="47" xr6:coauthVersionMax="47" xr10:uidLastSave="{00000000-0000-0000-0000-000000000000}"/>
  <bookViews>
    <workbookView xWindow="-110" yWindow="-110" windowWidth="19420" windowHeight="10300" activeTab="1" xr2:uid="{E48DFE09-4F93-40B0-8362-459245F93500}"/>
  </bookViews>
  <sheets>
    <sheet name="Sales" sheetId="1" r:id="rId1"/>
    <sheet name="Sales_Report" sheetId="2" r:id="rId2"/>
  </sheets>
  <definedNames>
    <definedName name="_xlnm._FilterDatabase" localSheetId="0" hidden="1">Sales!$A$1:$M$101</definedName>
    <definedName name="_xlnm._FilterDatabase" localSheetId="1" hidden="1">Sales_Report!$A$1:$M$101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6" i="2" l="1"/>
  <c r="Q25" i="2"/>
  <c r="P8" i="2"/>
  <c r="P5" i="2"/>
  <c r="T22" i="2"/>
  <c r="T21" i="2"/>
  <c r="T20" i="2"/>
  <c r="T19" i="2"/>
  <c r="T18" i="2"/>
  <c r="T17" i="2"/>
  <c r="T16" i="2"/>
  <c r="T10" i="2"/>
  <c r="T11" i="2"/>
  <c r="T9" i="2"/>
  <c r="T5" i="2"/>
  <c r="T6" i="2"/>
  <c r="T4" i="2"/>
  <c r="P14" i="2"/>
  <c r="P11" i="2"/>
  <c r="P2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2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L21" i="1" l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</calcChain>
</file>

<file path=xl/sharedStrings.xml><?xml version="1.0" encoding="utf-8"?>
<sst xmlns="http://schemas.openxmlformats.org/spreadsheetml/2006/main" count="1480" uniqueCount="168">
  <si>
    <t>No.</t>
  </si>
  <si>
    <t>Product Name</t>
  </si>
  <si>
    <t>Cup Size</t>
  </si>
  <si>
    <t>Choco Mousse</t>
  </si>
  <si>
    <t>Latte</t>
  </si>
  <si>
    <t>Mango Greentea</t>
  </si>
  <si>
    <t>Jasmine Greentea</t>
  </si>
  <si>
    <t>Hazelnut Chocolate</t>
  </si>
  <si>
    <t>Cappucino</t>
  </si>
  <si>
    <t>Milk Tea</t>
  </si>
  <si>
    <t>Roasted Milktea</t>
  </si>
  <si>
    <t>Matcha Latte</t>
  </si>
  <si>
    <t>Black Tea</t>
  </si>
  <si>
    <t>Large</t>
  </si>
  <si>
    <t>Reguler</t>
  </si>
  <si>
    <t>Small</t>
  </si>
  <si>
    <t>Order Id</t>
  </si>
  <si>
    <t>Topping</t>
  </si>
  <si>
    <t>Coconut Jelly</t>
  </si>
  <si>
    <t>Aloe Vera Jelly</t>
  </si>
  <si>
    <t>Grass Jelly</t>
  </si>
  <si>
    <t>Rainbow Jelly</t>
  </si>
  <si>
    <t>-</t>
  </si>
  <si>
    <t>Mango Pudding</t>
  </si>
  <si>
    <t>Pearl</t>
  </si>
  <si>
    <t>Simphony (feat JKT48)</t>
  </si>
  <si>
    <t>Tumblr One Piece (Merchandiser)</t>
  </si>
  <si>
    <t>Hot/Cold</t>
  </si>
  <si>
    <t>Cold</t>
  </si>
  <si>
    <t>Hot</t>
  </si>
  <si>
    <t>Order Type</t>
  </si>
  <si>
    <t>Transfer</t>
  </si>
  <si>
    <t>QRIS</t>
  </si>
  <si>
    <t>Cash</t>
  </si>
  <si>
    <t>Card</t>
  </si>
  <si>
    <t>Quantity</t>
  </si>
  <si>
    <t>Shopping Bag</t>
  </si>
  <si>
    <t>Yes</t>
  </si>
  <si>
    <t>No</t>
  </si>
  <si>
    <t>Order Methode</t>
  </si>
  <si>
    <t>Cheese Balls</t>
  </si>
  <si>
    <t>Price</t>
  </si>
  <si>
    <t>Product Name / Size Cup</t>
  </si>
  <si>
    <t>Topping Price</t>
  </si>
  <si>
    <t>Total Price</t>
  </si>
  <si>
    <t>Shopping Bag = Rp 5.000,00</t>
  </si>
  <si>
    <t>Total Sales</t>
  </si>
  <si>
    <t>CHT002</t>
  </si>
  <si>
    <t>Take Away</t>
  </si>
  <si>
    <t>CHT003</t>
  </si>
  <si>
    <t>Dine In</t>
  </si>
  <si>
    <t>CHT004</t>
  </si>
  <si>
    <t>CHT005</t>
  </si>
  <si>
    <t>CHT006</t>
  </si>
  <si>
    <t>CHT007</t>
  </si>
  <si>
    <t>CHT008</t>
  </si>
  <si>
    <t>CHT009</t>
  </si>
  <si>
    <t>CHT010</t>
  </si>
  <si>
    <t>CHT011</t>
  </si>
  <si>
    <t>CHT012</t>
  </si>
  <si>
    <t>CHT013</t>
  </si>
  <si>
    <t>CHT014</t>
  </si>
  <si>
    <t>CHT015</t>
  </si>
  <si>
    <t>CHT016</t>
  </si>
  <si>
    <t>CHT017</t>
  </si>
  <si>
    <t>CHT018</t>
  </si>
  <si>
    <t>CHT019</t>
  </si>
  <si>
    <t>CHT020</t>
  </si>
  <si>
    <t>CHT021</t>
  </si>
  <si>
    <t>CHT022</t>
  </si>
  <si>
    <t>CHT023</t>
  </si>
  <si>
    <t>CHT024</t>
  </si>
  <si>
    <t>CHT025</t>
  </si>
  <si>
    <t>CHT026</t>
  </si>
  <si>
    <t>CHT027</t>
  </si>
  <si>
    <t>CHT028</t>
  </si>
  <si>
    <t>CHT029</t>
  </si>
  <si>
    <t>CHT030</t>
  </si>
  <si>
    <t>CHT031</t>
  </si>
  <si>
    <t>CHT032</t>
  </si>
  <si>
    <t>CHT033</t>
  </si>
  <si>
    <t>CHT034</t>
  </si>
  <si>
    <t>CHT035</t>
  </si>
  <si>
    <t>CHT036</t>
  </si>
  <si>
    <t>CHT037</t>
  </si>
  <si>
    <t>CHT038</t>
  </si>
  <si>
    <t>CHT039</t>
  </si>
  <si>
    <t>CHT040</t>
  </si>
  <si>
    <t>CHT041</t>
  </si>
  <si>
    <t>CHT042</t>
  </si>
  <si>
    <t>CHT043</t>
  </si>
  <si>
    <t>CHT044</t>
  </si>
  <si>
    <t>CHT045</t>
  </si>
  <si>
    <t>CHT046</t>
  </si>
  <si>
    <t>CHT047</t>
  </si>
  <si>
    <t>CHT048</t>
  </si>
  <si>
    <t>CHT049</t>
  </si>
  <si>
    <t>CHT050</t>
  </si>
  <si>
    <t>CHT051</t>
  </si>
  <si>
    <t>CHT052</t>
  </si>
  <si>
    <t>CHT053</t>
  </si>
  <si>
    <t>CHT054</t>
  </si>
  <si>
    <t>CHT055</t>
  </si>
  <si>
    <t>CHT056</t>
  </si>
  <si>
    <t>CHT057</t>
  </si>
  <si>
    <t>CHT058</t>
  </si>
  <si>
    <t>CHT059</t>
  </si>
  <si>
    <t>CHT060</t>
  </si>
  <si>
    <t>CHT061</t>
  </si>
  <si>
    <t>CHT062</t>
  </si>
  <si>
    <t>CHT063</t>
  </si>
  <si>
    <t>CHT064</t>
  </si>
  <si>
    <t>CHT065</t>
  </si>
  <si>
    <t>CHT066</t>
  </si>
  <si>
    <t>CHT067</t>
  </si>
  <si>
    <t>CHT068</t>
  </si>
  <si>
    <t>CHT069</t>
  </si>
  <si>
    <t>CHT070</t>
  </si>
  <si>
    <t>CHT071</t>
  </si>
  <si>
    <t>CHT072</t>
  </si>
  <si>
    <t>CHT073</t>
  </si>
  <si>
    <t>CHT074</t>
  </si>
  <si>
    <t>CHT075</t>
  </si>
  <si>
    <t>CHT076</t>
  </si>
  <si>
    <t>CHT077</t>
  </si>
  <si>
    <t>CHT078</t>
  </si>
  <si>
    <t>CHT079</t>
  </si>
  <si>
    <t>CHT080</t>
  </si>
  <si>
    <t>CHT081</t>
  </si>
  <si>
    <t>CHT082</t>
  </si>
  <si>
    <t>CHT083</t>
  </si>
  <si>
    <t>CHT084</t>
  </si>
  <si>
    <t>CHT085</t>
  </si>
  <si>
    <t>CHT086</t>
  </si>
  <si>
    <t>CHT087</t>
  </si>
  <si>
    <t>CHT088</t>
  </si>
  <si>
    <t>CHT089</t>
  </si>
  <si>
    <t>CHT090</t>
  </si>
  <si>
    <t>CHT091</t>
  </si>
  <si>
    <t>CHT092</t>
  </si>
  <si>
    <t>CHT093</t>
  </si>
  <si>
    <t>CHT094</t>
  </si>
  <si>
    <t>CHT095</t>
  </si>
  <si>
    <t>CHT096</t>
  </si>
  <si>
    <t>CHT097</t>
  </si>
  <si>
    <t>CHT098</t>
  </si>
  <si>
    <t>CHT099</t>
  </si>
  <si>
    <t>CHT100</t>
  </si>
  <si>
    <t>CHT101</t>
  </si>
  <si>
    <t>Total Topping Sold</t>
  </si>
  <si>
    <t>Total Shopping Bag Sold</t>
  </si>
  <si>
    <t>Total Quantity Sold by Cup Size</t>
  </si>
  <si>
    <t>Total Quantity Sold by Promoted Products</t>
  </si>
  <si>
    <t>Target Achievement (%)</t>
  </si>
  <si>
    <t>Cup Large</t>
  </si>
  <si>
    <t>Simphony JKT48</t>
  </si>
  <si>
    <t>Tumblr One Piece</t>
  </si>
  <si>
    <t>Sales Target</t>
  </si>
  <si>
    <t xml:space="preserve">Topping Sales Target </t>
  </si>
  <si>
    <t>Shopping Bag Sales Target</t>
  </si>
  <si>
    <t>Large Cup Sales Target</t>
  </si>
  <si>
    <t>Simphony JKT48 Sales Target</t>
  </si>
  <si>
    <t>Cheese Balls Sales Target</t>
  </si>
  <si>
    <t>One Piece Tumblr Sales Target</t>
  </si>
  <si>
    <t>Average Order Value</t>
  </si>
  <si>
    <t>Average Unit per Transaction</t>
  </si>
  <si>
    <t>Total Orders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</si>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</sst>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p-421]* #,##0.00_-;\-[$Rp-421]* #,##0.00_-;_-[$Rp-421]* &quot;-&quot;??_-;_-@_-"/>
  </numFmts>
  <fonts count="2" x14ac:knownFonts="1">
    <font>
      <sz val="11"/>
      <color theme="1"/>
      <name val="Aptos Narrow"/>
      <family val="2"/>
      <charset val="1"/>
      <scheme val="minor"/>
    </font>
    <font>
      <sz val="11"/>
      <color theme="1"/>
      <name val="Aptos Narrow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9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0" fillId="0" borderId="1" xfId="0" applyNumberFormat="1" applyBorder="1"/>
    <xf numFmtId="164" fontId="0" fillId="0" borderId="8" xfId="0" applyNumberFormat="1" applyBorder="1"/>
    <xf numFmtId="0" fontId="0" fillId="0" borderId="8" xfId="1" applyNumberFormat="1" applyFont="1" applyBorder="1"/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D2860B-BC96-4889-AABB-64FA0F4CE931}" name="Table1" displayName="Table1" ref="P1:S12" totalsRowShown="0">
  <autoFilter ref="P1:S12" xr:uid="{6CD2860B-BC96-4889-AABB-64FA0F4CE931}"/>
  <tableColumns count="4">
    <tableColumn id="1" xr3:uid="{CB83E45E-1803-446E-9FCB-612C6F542335}" name="Product Name / Size Cup"/>
    <tableColumn id="2" xr3:uid="{98727645-62E0-42CA-9610-9F76AB6DD186}" name="Small"/>
    <tableColumn id="3" xr3:uid="{5FB972D0-5CD8-406B-8B0D-AF249FD9FC9C}" name="Reguler"/>
    <tableColumn id="4" xr3:uid="{1E29FA98-1565-4027-8E88-BD7FF2D3060F}" name="Lar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EA84EA-A099-4903-9A65-4D50DE79DFF0}" name="Table2" displayName="Table2" ref="P15:Q21" totalsRowShown="0">
  <autoFilter ref="P15:Q21" xr:uid="{D4EA84EA-A099-4903-9A65-4D50DE79DFF0}"/>
  <tableColumns count="2">
    <tableColumn id="1" xr3:uid="{DD7133AF-83B1-4DB7-AA4F-874196F9AC93}" name="Topping"/>
    <tableColumn id="2" xr3:uid="{0FBBE50F-4292-4AEA-B01F-112F5DB80852}" name="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AF44-0C7D-4A72-ABD3-5CBF438528AF}">
  <dimension ref="A1:S101"/>
  <sheetViews>
    <sheetView topLeftCell="J1" workbookViewId="0">
      <selection activeCell="E3" sqref="E3"/>
    </sheetView>
  </sheetViews>
  <sheetFormatPr defaultRowHeight="14.5" x14ac:dyDescent="0.35"/>
  <cols>
    <col min="2" max="2" width="16.26953125" customWidth="1"/>
    <col min="3" max="3" width="28.08984375" bestFit="1" customWidth="1"/>
    <col min="4" max="4" width="13.1796875" customWidth="1"/>
    <col min="5" max="5" width="13.1796875" style="1" customWidth="1"/>
    <col min="6" max="6" width="15.1796875" customWidth="1"/>
    <col min="7" max="7" width="15.1796875" style="1" customWidth="1"/>
    <col min="8" max="8" width="10.6328125" customWidth="1"/>
    <col min="9" max="9" width="10.1796875" customWidth="1"/>
    <col min="10" max="10" width="13.81640625" customWidth="1"/>
    <col min="11" max="11" width="15.36328125" customWidth="1"/>
    <col min="12" max="12" width="11.6328125" customWidth="1"/>
    <col min="13" max="13" width="12.26953125" bestFit="1" customWidth="1"/>
    <col min="16" max="16" width="29.08984375" bestFit="1" customWidth="1"/>
    <col min="18" max="18" width="9.1796875" customWidth="1"/>
  </cols>
  <sheetData>
    <row r="1" spans="1:19" x14ac:dyDescent="0.35">
      <c r="A1" t="s">
        <v>0</v>
      </c>
      <c r="B1" t="s">
        <v>16</v>
      </c>
      <c r="C1" t="s">
        <v>1</v>
      </c>
      <c r="D1" t="s">
        <v>2</v>
      </c>
      <c r="E1" s="1" t="s">
        <v>41</v>
      </c>
      <c r="F1" t="s">
        <v>17</v>
      </c>
      <c r="G1" s="1" t="s">
        <v>43</v>
      </c>
      <c r="H1" t="s">
        <v>27</v>
      </c>
      <c r="I1" t="s">
        <v>35</v>
      </c>
      <c r="J1" t="s">
        <v>36</v>
      </c>
      <c r="K1" t="s">
        <v>39</v>
      </c>
      <c r="L1" t="s">
        <v>30</v>
      </c>
      <c r="M1" t="s">
        <v>44</v>
      </c>
      <c r="P1" t="s">
        <v>42</v>
      </c>
      <c r="Q1" t="s">
        <v>15</v>
      </c>
      <c r="R1" t="s">
        <v>14</v>
      </c>
      <c r="S1" t="s">
        <v>13</v>
      </c>
    </row>
    <row r="2" spans="1:19" ht="18" customHeight="1" x14ac:dyDescent="0.35">
      <c r="A2">
        <v>1</v>
      </c>
      <c r="B2" t="str">
        <f>"CHT"&amp;TEXT(ROW(B2),"000")</f>
        <v>CHT002</v>
      </c>
      <c r="C2" t="s">
        <v>6</v>
      </c>
      <c r="D2" t="s">
        <v>14</v>
      </c>
      <c r="E2" s="1">
        <f t="shared" ref="E2:E17" si="0">IF(C2="Cheese Balls",12000,INDEX($Q$2:$S$12,MATCH(C2,$P$2:$P$12,0),MATCH(D2,$Q$1:$S$1,0)))</f>
        <v>22000</v>
      </c>
      <c r="F2" t="s">
        <v>24</v>
      </c>
      <c r="G2" s="1">
        <f>IFERROR(VLOOKUP(F2,$P$16:$Q$21,2,0),0)</f>
        <v>5000</v>
      </c>
      <c r="H2" t="s">
        <v>28</v>
      </c>
      <c r="I2">
        <v>1</v>
      </c>
      <c r="J2" t="s">
        <v>37</v>
      </c>
      <c r="K2" t="s">
        <v>31</v>
      </c>
      <c r="L2" t="str">
        <f>IF(J2="Yes","Take Away","Dine In")</f>
        <v>Take Away</v>
      </c>
      <c r="M2" s="1">
        <f>E2*I2+G2</f>
        <v>27000</v>
      </c>
      <c r="P2" t="s">
        <v>9</v>
      </c>
      <c r="Q2">
        <v>19000</v>
      </c>
      <c r="R2">
        <v>24000</v>
      </c>
      <c r="S2">
        <v>27000</v>
      </c>
    </row>
    <row r="3" spans="1:19" ht="18.5" customHeight="1" x14ac:dyDescent="0.35">
      <c r="A3">
        <v>2</v>
      </c>
      <c r="B3" t="str">
        <f t="shared" ref="B3:B66" si="1">"CHT"&amp;TEXT(ROW(B3),"000")</f>
        <v>CHT003</v>
      </c>
      <c r="C3" t="s">
        <v>10</v>
      </c>
      <c r="D3" t="s">
        <v>14</v>
      </c>
      <c r="E3" s="1">
        <f t="shared" si="0"/>
        <v>25000</v>
      </c>
      <c r="F3" t="s">
        <v>23</v>
      </c>
      <c r="G3" s="1">
        <f t="shared" ref="G3:G66" si="2">IFERROR(VLOOKUP(F3,$P$16:$Q$21,2,0),0)</f>
        <v>7000</v>
      </c>
      <c r="H3" t="s">
        <v>29</v>
      </c>
      <c r="I3">
        <v>3</v>
      </c>
      <c r="J3" t="s">
        <v>38</v>
      </c>
      <c r="K3" t="s">
        <v>33</v>
      </c>
      <c r="L3" t="str">
        <f t="shared" ref="L3:L66" si="3">IF(J3="Yes","Take Away","Dine In")</f>
        <v>Dine In</v>
      </c>
      <c r="M3" s="1">
        <f t="shared" ref="M3:M66" si="4">E3*I3+G3</f>
        <v>82000</v>
      </c>
      <c r="P3" t="s">
        <v>10</v>
      </c>
      <c r="Q3">
        <v>20000</v>
      </c>
      <c r="R3">
        <v>25000</v>
      </c>
      <c r="S3">
        <v>28000</v>
      </c>
    </row>
    <row r="4" spans="1:19" x14ac:dyDescent="0.35">
      <c r="A4">
        <v>3</v>
      </c>
      <c r="B4" t="str">
        <f t="shared" si="1"/>
        <v>CHT004</v>
      </c>
      <c r="C4" t="s">
        <v>3</v>
      </c>
      <c r="D4" t="s">
        <v>14</v>
      </c>
      <c r="E4" s="1">
        <f t="shared" si="0"/>
        <v>27000</v>
      </c>
      <c r="F4" t="s">
        <v>23</v>
      </c>
      <c r="G4" s="1">
        <f t="shared" si="2"/>
        <v>7000</v>
      </c>
      <c r="H4" t="s">
        <v>29</v>
      </c>
      <c r="I4">
        <v>1</v>
      </c>
      <c r="J4" t="s">
        <v>37</v>
      </c>
      <c r="K4" t="s">
        <v>32</v>
      </c>
      <c r="L4" t="str">
        <f t="shared" si="3"/>
        <v>Take Away</v>
      </c>
      <c r="M4" s="1">
        <f t="shared" si="4"/>
        <v>34000</v>
      </c>
      <c r="P4" t="s">
        <v>5</v>
      </c>
      <c r="Q4">
        <v>20000</v>
      </c>
      <c r="R4">
        <v>24000</v>
      </c>
      <c r="S4">
        <v>27000</v>
      </c>
    </row>
    <row r="5" spans="1:19" x14ac:dyDescent="0.35">
      <c r="A5">
        <v>4</v>
      </c>
      <c r="B5" t="str">
        <f t="shared" si="1"/>
        <v>CHT005</v>
      </c>
      <c r="C5" t="s">
        <v>6</v>
      </c>
      <c r="D5" t="s">
        <v>14</v>
      </c>
      <c r="E5" s="1">
        <f t="shared" si="0"/>
        <v>22000</v>
      </c>
      <c r="F5" t="s">
        <v>21</v>
      </c>
      <c r="G5" s="1">
        <f t="shared" si="2"/>
        <v>7000</v>
      </c>
      <c r="H5" t="s">
        <v>28</v>
      </c>
      <c r="I5">
        <v>3</v>
      </c>
      <c r="J5" t="s">
        <v>37</v>
      </c>
      <c r="K5" t="s">
        <v>34</v>
      </c>
      <c r="L5" t="str">
        <f t="shared" si="3"/>
        <v>Take Away</v>
      </c>
      <c r="M5" s="1">
        <f t="shared" si="4"/>
        <v>73000</v>
      </c>
      <c r="P5" t="s">
        <v>8</v>
      </c>
      <c r="Q5">
        <v>17000</v>
      </c>
      <c r="R5">
        <v>22000</v>
      </c>
      <c r="S5">
        <v>25000</v>
      </c>
    </row>
    <row r="6" spans="1:19" x14ac:dyDescent="0.35">
      <c r="A6">
        <v>5</v>
      </c>
      <c r="B6" t="str">
        <f t="shared" si="1"/>
        <v>CHT006</v>
      </c>
      <c r="C6" t="s">
        <v>8</v>
      </c>
      <c r="D6" t="s">
        <v>14</v>
      </c>
      <c r="E6" s="1">
        <f t="shared" si="0"/>
        <v>22000</v>
      </c>
      <c r="F6" t="s">
        <v>19</v>
      </c>
      <c r="G6" s="1">
        <f t="shared" si="2"/>
        <v>7000</v>
      </c>
      <c r="H6" t="s">
        <v>29</v>
      </c>
      <c r="I6">
        <v>2</v>
      </c>
      <c r="J6" t="s">
        <v>38</v>
      </c>
      <c r="K6" t="s">
        <v>31</v>
      </c>
      <c r="L6" t="str">
        <f t="shared" si="3"/>
        <v>Dine In</v>
      </c>
      <c r="M6" s="1">
        <f t="shared" si="4"/>
        <v>51000</v>
      </c>
      <c r="P6" t="s">
        <v>4</v>
      </c>
      <c r="Q6">
        <v>17000</v>
      </c>
      <c r="R6">
        <v>22000</v>
      </c>
      <c r="S6">
        <v>25000</v>
      </c>
    </row>
    <row r="7" spans="1:19" x14ac:dyDescent="0.35">
      <c r="A7">
        <v>6</v>
      </c>
      <c r="B7" t="str">
        <f t="shared" si="1"/>
        <v>CHT007</v>
      </c>
      <c r="C7" t="s">
        <v>11</v>
      </c>
      <c r="D7" t="s">
        <v>14</v>
      </c>
      <c r="E7" s="1">
        <f t="shared" si="0"/>
        <v>25000</v>
      </c>
      <c r="F7" t="s">
        <v>19</v>
      </c>
      <c r="G7" s="1">
        <f t="shared" si="2"/>
        <v>7000</v>
      </c>
      <c r="H7" t="s">
        <v>28</v>
      </c>
      <c r="I7">
        <v>1</v>
      </c>
      <c r="J7" t="s">
        <v>38</v>
      </c>
      <c r="K7" t="s">
        <v>34</v>
      </c>
      <c r="L7" t="str">
        <f t="shared" si="3"/>
        <v>Dine In</v>
      </c>
      <c r="M7" s="1">
        <f t="shared" si="4"/>
        <v>32000</v>
      </c>
      <c r="P7" t="s">
        <v>7</v>
      </c>
      <c r="Q7">
        <v>22000</v>
      </c>
      <c r="R7">
        <v>26000</v>
      </c>
      <c r="S7">
        <v>29000</v>
      </c>
    </row>
    <row r="8" spans="1:19" x14ac:dyDescent="0.35">
      <c r="A8">
        <v>7</v>
      </c>
      <c r="B8" t="str">
        <f t="shared" si="1"/>
        <v>CHT008</v>
      </c>
      <c r="C8" t="s">
        <v>40</v>
      </c>
      <c r="D8" t="s">
        <v>22</v>
      </c>
      <c r="E8" s="1">
        <f t="shared" si="0"/>
        <v>12000</v>
      </c>
      <c r="F8" t="s">
        <v>22</v>
      </c>
      <c r="G8" s="1">
        <f t="shared" si="2"/>
        <v>0</v>
      </c>
      <c r="H8" t="s">
        <v>22</v>
      </c>
      <c r="I8">
        <v>3</v>
      </c>
      <c r="J8" t="s">
        <v>38</v>
      </c>
      <c r="K8" t="s">
        <v>33</v>
      </c>
      <c r="L8" t="str">
        <f t="shared" si="3"/>
        <v>Dine In</v>
      </c>
      <c r="M8" s="1">
        <f t="shared" si="4"/>
        <v>36000</v>
      </c>
      <c r="P8" t="s">
        <v>11</v>
      </c>
      <c r="Q8">
        <v>21000</v>
      </c>
      <c r="R8">
        <v>25000</v>
      </c>
      <c r="S8">
        <v>28000</v>
      </c>
    </row>
    <row r="9" spans="1:19" x14ac:dyDescent="0.35">
      <c r="A9">
        <v>8</v>
      </c>
      <c r="B9" t="str">
        <f t="shared" si="1"/>
        <v>CHT009</v>
      </c>
      <c r="C9" t="s">
        <v>9</v>
      </c>
      <c r="D9" t="s">
        <v>14</v>
      </c>
      <c r="E9" s="1">
        <f t="shared" si="0"/>
        <v>24000</v>
      </c>
      <c r="F9" t="s">
        <v>19</v>
      </c>
      <c r="G9" s="1">
        <f t="shared" si="2"/>
        <v>7000</v>
      </c>
      <c r="H9" t="s">
        <v>29</v>
      </c>
      <c r="I9">
        <v>1</v>
      </c>
      <c r="J9" t="s">
        <v>37</v>
      </c>
      <c r="K9" t="s">
        <v>32</v>
      </c>
      <c r="L9" t="str">
        <f t="shared" si="3"/>
        <v>Take Away</v>
      </c>
      <c r="M9" s="1">
        <f t="shared" si="4"/>
        <v>31000</v>
      </c>
      <c r="P9" t="s">
        <v>6</v>
      </c>
      <c r="Q9">
        <v>17000</v>
      </c>
      <c r="R9">
        <v>22000</v>
      </c>
      <c r="S9">
        <v>25000</v>
      </c>
    </row>
    <row r="10" spans="1:19" x14ac:dyDescent="0.35">
      <c r="A10">
        <v>9</v>
      </c>
      <c r="B10" t="str">
        <f t="shared" si="1"/>
        <v>CHT010</v>
      </c>
      <c r="C10" t="s">
        <v>5</v>
      </c>
      <c r="D10" t="s">
        <v>13</v>
      </c>
      <c r="E10" s="1">
        <f t="shared" si="0"/>
        <v>27000</v>
      </c>
      <c r="F10" t="s">
        <v>24</v>
      </c>
      <c r="G10" s="1">
        <f t="shared" si="2"/>
        <v>5000</v>
      </c>
      <c r="H10" t="s">
        <v>28</v>
      </c>
      <c r="I10">
        <v>2</v>
      </c>
      <c r="J10" t="s">
        <v>38</v>
      </c>
      <c r="K10" t="s">
        <v>31</v>
      </c>
      <c r="L10" t="str">
        <f t="shared" si="3"/>
        <v>Dine In</v>
      </c>
      <c r="M10" s="1">
        <f t="shared" si="4"/>
        <v>59000</v>
      </c>
      <c r="P10" t="s">
        <v>12</v>
      </c>
      <c r="Q10">
        <v>17000</v>
      </c>
      <c r="R10">
        <v>22000</v>
      </c>
      <c r="S10">
        <v>25000</v>
      </c>
    </row>
    <row r="11" spans="1:19" x14ac:dyDescent="0.35">
      <c r="A11">
        <v>10</v>
      </c>
      <c r="B11" t="str">
        <f t="shared" si="1"/>
        <v>CHT011</v>
      </c>
      <c r="C11" t="s">
        <v>12</v>
      </c>
      <c r="D11" t="s">
        <v>15</v>
      </c>
      <c r="E11" s="1">
        <f t="shared" si="0"/>
        <v>17000</v>
      </c>
      <c r="F11" t="s">
        <v>23</v>
      </c>
      <c r="G11" s="1">
        <f t="shared" si="2"/>
        <v>7000</v>
      </c>
      <c r="H11" t="s">
        <v>28</v>
      </c>
      <c r="I11">
        <v>3</v>
      </c>
      <c r="J11" t="s">
        <v>38</v>
      </c>
      <c r="K11" t="s">
        <v>34</v>
      </c>
      <c r="L11" t="str">
        <f t="shared" si="3"/>
        <v>Dine In</v>
      </c>
      <c r="M11" s="1">
        <f t="shared" si="4"/>
        <v>58000</v>
      </c>
      <c r="P11" t="s">
        <v>3</v>
      </c>
      <c r="Q11">
        <v>22000</v>
      </c>
      <c r="R11">
        <v>27000</v>
      </c>
      <c r="S11">
        <v>30000</v>
      </c>
    </row>
    <row r="12" spans="1:19" x14ac:dyDescent="0.35">
      <c r="A12">
        <v>11</v>
      </c>
      <c r="B12" t="str">
        <f t="shared" si="1"/>
        <v>CHT012</v>
      </c>
      <c r="C12" t="s">
        <v>8</v>
      </c>
      <c r="D12" t="s">
        <v>14</v>
      </c>
      <c r="E12" s="1">
        <f t="shared" si="0"/>
        <v>22000</v>
      </c>
      <c r="F12" t="s">
        <v>23</v>
      </c>
      <c r="G12" s="1">
        <f t="shared" si="2"/>
        <v>7000</v>
      </c>
      <c r="H12" t="s">
        <v>28</v>
      </c>
      <c r="I12">
        <v>2</v>
      </c>
      <c r="J12" t="s">
        <v>37</v>
      </c>
      <c r="K12" t="s">
        <v>33</v>
      </c>
      <c r="L12" t="str">
        <f t="shared" si="3"/>
        <v>Take Away</v>
      </c>
      <c r="M12" s="1">
        <f t="shared" si="4"/>
        <v>51000</v>
      </c>
      <c r="P12" t="s">
        <v>25</v>
      </c>
      <c r="Q12">
        <v>22000</v>
      </c>
      <c r="R12">
        <v>25000</v>
      </c>
      <c r="S12">
        <v>27000</v>
      </c>
    </row>
    <row r="13" spans="1:19" x14ac:dyDescent="0.35">
      <c r="A13">
        <v>12</v>
      </c>
      <c r="B13" t="str">
        <f t="shared" si="1"/>
        <v>CHT013</v>
      </c>
      <c r="C13" t="s">
        <v>11</v>
      </c>
      <c r="D13" t="s">
        <v>14</v>
      </c>
      <c r="E13" s="1">
        <f t="shared" si="0"/>
        <v>25000</v>
      </c>
      <c r="F13" t="s">
        <v>23</v>
      </c>
      <c r="G13" s="1">
        <f t="shared" si="2"/>
        <v>7000</v>
      </c>
      <c r="H13" t="s">
        <v>29</v>
      </c>
      <c r="I13">
        <v>1</v>
      </c>
      <c r="J13" t="s">
        <v>37</v>
      </c>
      <c r="K13" t="s">
        <v>33</v>
      </c>
      <c r="L13" t="str">
        <f t="shared" si="3"/>
        <v>Take Away</v>
      </c>
      <c r="M13" s="1">
        <f t="shared" si="4"/>
        <v>32000</v>
      </c>
    </row>
    <row r="14" spans="1:19" x14ac:dyDescent="0.35">
      <c r="A14">
        <v>13</v>
      </c>
      <c r="B14" t="str">
        <f t="shared" si="1"/>
        <v>CHT014</v>
      </c>
      <c r="C14" t="s">
        <v>5</v>
      </c>
      <c r="D14" t="s">
        <v>15</v>
      </c>
      <c r="E14" s="1">
        <f t="shared" si="0"/>
        <v>20000</v>
      </c>
      <c r="F14" t="s">
        <v>20</v>
      </c>
      <c r="G14" s="1">
        <f t="shared" si="2"/>
        <v>5000</v>
      </c>
      <c r="H14" t="s">
        <v>29</v>
      </c>
      <c r="I14">
        <v>2</v>
      </c>
      <c r="J14" t="s">
        <v>37</v>
      </c>
      <c r="K14" t="s">
        <v>32</v>
      </c>
      <c r="L14" t="str">
        <f t="shared" si="3"/>
        <v>Take Away</v>
      </c>
      <c r="M14" s="1">
        <f t="shared" si="4"/>
        <v>45000</v>
      </c>
    </row>
    <row r="15" spans="1:19" x14ac:dyDescent="0.35">
      <c r="A15">
        <v>14</v>
      </c>
      <c r="B15" t="str">
        <f t="shared" si="1"/>
        <v>CHT015</v>
      </c>
      <c r="C15" t="s">
        <v>4</v>
      </c>
      <c r="D15" t="s">
        <v>13</v>
      </c>
      <c r="E15" s="1">
        <f t="shared" si="0"/>
        <v>25000</v>
      </c>
      <c r="F15" t="s">
        <v>23</v>
      </c>
      <c r="G15" s="1">
        <f t="shared" si="2"/>
        <v>7000</v>
      </c>
      <c r="H15" t="s">
        <v>28</v>
      </c>
      <c r="I15">
        <v>2</v>
      </c>
      <c r="J15" t="s">
        <v>37</v>
      </c>
      <c r="K15" t="s">
        <v>33</v>
      </c>
      <c r="L15" t="str">
        <f t="shared" si="3"/>
        <v>Take Away</v>
      </c>
      <c r="M15" s="1">
        <f t="shared" si="4"/>
        <v>57000</v>
      </c>
      <c r="P15" t="s">
        <v>17</v>
      </c>
      <c r="Q15" t="s">
        <v>41</v>
      </c>
    </row>
    <row r="16" spans="1:19" x14ac:dyDescent="0.35">
      <c r="A16">
        <v>15</v>
      </c>
      <c r="B16" t="str">
        <f t="shared" si="1"/>
        <v>CHT016</v>
      </c>
      <c r="C16" t="s">
        <v>10</v>
      </c>
      <c r="D16" t="s">
        <v>15</v>
      </c>
      <c r="E16" s="1">
        <f t="shared" si="0"/>
        <v>20000</v>
      </c>
      <c r="F16" t="s">
        <v>24</v>
      </c>
      <c r="G16" s="1">
        <f t="shared" si="2"/>
        <v>5000</v>
      </c>
      <c r="H16" t="s">
        <v>29</v>
      </c>
      <c r="I16">
        <v>3</v>
      </c>
      <c r="J16" t="s">
        <v>37</v>
      </c>
      <c r="K16" t="s">
        <v>32</v>
      </c>
      <c r="L16" t="str">
        <f t="shared" si="3"/>
        <v>Take Away</v>
      </c>
      <c r="M16" s="1">
        <f t="shared" si="4"/>
        <v>65000</v>
      </c>
      <c r="P16" t="s">
        <v>24</v>
      </c>
      <c r="Q16">
        <v>5000</v>
      </c>
    </row>
    <row r="17" spans="1:17" x14ac:dyDescent="0.35">
      <c r="A17">
        <v>16</v>
      </c>
      <c r="B17" t="str">
        <f t="shared" si="1"/>
        <v>CHT017</v>
      </c>
      <c r="C17" t="s">
        <v>11</v>
      </c>
      <c r="D17" t="s">
        <v>13</v>
      </c>
      <c r="E17" s="1">
        <f t="shared" si="0"/>
        <v>28000</v>
      </c>
      <c r="F17" t="s">
        <v>20</v>
      </c>
      <c r="G17" s="1">
        <f t="shared" si="2"/>
        <v>5000</v>
      </c>
      <c r="H17" t="s">
        <v>28</v>
      </c>
      <c r="I17">
        <v>3</v>
      </c>
      <c r="J17" t="s">
        <v>38</v>
      </c>
      <c r="K17" t="s">
        <v>33</v>
      </c>
      <c r="L17" t="str">
        <f t="shared" si="3"/>
        <v>Dine In</v>
      </c>
      <c r="M17" s="1">
        <f t="shared" si="4"/>
        <v>89000</v>
      </c>
      <c r="P17" t="s">
        <v>23</v>
      </c>
      <c r="Q17">
        <v>7000</v>
      </c>
    </row>
    <row r="18" spans="1:17" x14ac:dyDescent="0.35">
      <c r="A18">
        <v>17</v>
      </c>
      <c r="B18" t="str">
        <f t="shared" si="1"/>
        <v>CHT018</v>
      </c>
      <c r="C18" t="s">
        <v>26</v>
      </c>
      <c r="D18" t="s">
        <v>22</v>
      </c>
      <c r="E18" s="1">
        <v>98000</v>
      </c>
      <c r="F18" t="s">
        <v>22</v>
      </c>
      <c r="G18" s="1">
        <f t="shared" si="2"/>
        <v>0</v>
      </c>
      <c r="H18" t="s">
        <v>22</v>
      </c>
      <c r="I18">
        <v>1</v>
      </c>
      <c r="J18" t="s">
        <v>38</v>
      </c>
      <c r="K18" t="s">
        <v>33</v>
      </c>
      <c r="L18" t="str">
        <f t="shared" si="3"/>
        <v>Dine In</v>
      </c>
      <c r="M18" s="1">
        <f t="shared" si="4"/>
        <v>98000</v>
      </c>
      <c r="P18" t="s">
        <v>20</v>
      </c>
      <c r="Q18">
        <v>5000</v>
      </c>
    </row>
    <row r="19" spans="1:17" x14ac:dyDescent="0.35">
      <c r="A19">
        <v>18</v>
      </c>
      <c r="B19" t="str">
        <f t="shared" si="1"/>
        <v>CHT019</v>
      </c>
      <c r="C19" t="s">
        <v>8</v>
      </c>
      <c r="D19" t="s">
        <v>13</v>
      </c>
      <c r="E19" s="1">
        <f t="shared" ref="E19:E50" si="5">IF(C19="Cheese Balls",12000,INDEX($Q$2:$S$12,MATCH(C19,$P$2:$P$12,0),MATCH(D19,$Q$1:$S$1,0)))</f>
        <v>25000</v>
      </c>
      <c r="F19" t="s">
        <v>22</v>
      </c>
      <c r="G19" s="1">
        <f t="shared" si="2"/>
        <v>0</v>
      </c>
      <c r="H19" t="s">
        <v>28</v>
      </c>
      <c r="I19">
        <v>2</v>
      </c>
      <c r="J19" t="s">
        <v>37</v>
      </c>
      <c r="K19" t="s">
        <v>31</v>
      </c>
      <c r="L19" t="str">
        <f t="shared" si="3"/>
        <v>Take Away</v>
      </c>
      <c r="M19" s="1">
        <f t="shared" si="4"/>
        <v>50000</v>
      </c>
      <c r="P19" t="s">
        <v>18</v>
      </c>
      <c r="Q19">
        <v>7000</v>
      </c>
    </row>
    <row r="20" spans="1:17" x14ac:dyDescent="0.35">
      <c r="A20">
        <v>19</v>
      </c>
      <c r="B20" t="str">
        <f t="shared" si="1"/>
        <v>CHT020</v>
      </c>
      <c r="C20" t="s">
        <v>10</v>
      </c>
      <c r="D20" t="s">
        <v>14</v>
      </c>
      <c r="E20" s="1">
        <f t="shared" si="5"/>
        <v>25000</v>
      </c>
      <c r="F20" t="s">
        <v>20</v>
      </c>
      <c r="G20" s="1">
        <f t="shared" si="2"/>
        <v>5000</v>
      </c>
      <c r="H20" t="s">
        <v>29</v>
      </c>
      <c r="I20">
        <v>2</v>
      </c>
      <c r="J20" t="s">
        <v>38</v>
      </c>
      <c r="K20" t="s">
        <v>33</v>
      </c>
      <c r="L20" t="str">
        <f t="shared" si="3"/>
        <v>Dine In</v>
      </c>
      <c r="M20" s="1">
        <f t="shared" si="4"/>
        <v>55000</v>
      </c>
      <c r="P20" t="s">
        <v>21</v>
      </c>
      <c r="Q20">
        <v>7000</v>
      </c>
    </row>
    <row r="21" spans="1:17" x14ac:dyDescent="0.35">
      <c r="A21">
        <v>20</v>
      </c>
      <c r="B21" t="str">
        <f t="shared" si="1"/>
        <v>CHT021</v>
      </c>
      <c r="C21" t="s">
        <v>7</v>
      </c>
      <c r="D21" t="s">
        <v>15</v>
      </c>
      <c r="E21" s="1">
        <f t="shared" si="5"/>
        <v>22000</v>
      </c>
      <c r="F21" t="s">
        <v>20</v>
      </c>
      <c r="G21" s="1">
        <f t="shared" si="2"/>
        <v>5000</v>
      </c>
      <c r="H21" t="s">
        <v>29</v>
      </c>
      <c r="I21">
        <v>1</v>
      </c>
      <c r="J21" t="s">
        <v>37</v>
      </c>
      <c r="K21" t="s">
        <v>33</v>
      </c>
      <c r="L21" t="str">
        <f t="shared" si="3"/>
        <v>Take Away</v>
      </c>
      <c r="M21" s="1">
        <f t="shared" si="4"/>
        <v>27000</v>
      </c>
      <c r="P21" t="s">
        <v>19</v>
      </c>
      <c r="Q21">
        <v>7000</v>
      </c>
    </row>
    <row r="22" spans="1:17" x14ac:dyDescent="0.35">
      <c r="A22">
        <v>21</v>
      </c>
      <c r="B22" t="str">
        <f t="shared" si="1"/>
        <v>CHT022</v>
      </c>
      <c r="C22" t="s">
        <v>11</v>
      </c>
      <c r="D22" t="s">
        <v>14</v>
      </c>
      <c r="E22" s="1">
        <f t="shared" si="5"/>
        <v>25000</v>
      </c>
      <c r="F22" t="s">
        <v>19</v>
      </c>
      <c r="G22" s="1">
        <f t="shared" si="2"/>
        <v>7000</v>
      </c>
      <c r="H22" t="s">
        <v>28</v>
      </c>
      <c r="I22">
        <v>1</v>
      </c>
      <c r="J22" t="s">
        <v>38</v>
      </c>
      <c r="K22" t="s">
        <v>34</v>
      </c>
      <c r="L22" t="str">
        <f t="shared" si="3"/>
        <v>Dine In</v>
      </c>
      <c r="M22" s="1">
        <f t="shared" si="4"/>
        <v>32000</v>
      </c>
    </row>
    <row r="23" spans="1:17" x14ac:dyDescent="0.35">
      <c r="A23">
        <v>22</v>
      </c>
      <c r="B23" t="str">
        <f t="shared" si="1"/>
        <v>CHT023</v>
      </c>
      <c r="C23" t="s">
        <v>11</v>
      </c>
      <c r="D23" t="s">
        <v>13</v>
      </c>
      <c r="E23" s="1">
        <f t="shared" si="5"/>
        <v>28000</v>
      </c>
      <c r="F23" t="s">
        <v>20</v>
      </c>
      <c r="G23" s="1">
        <f t="shared" si="2"/>
        <v>5000</v>
      </c>
      <c r="H23" t="s">
        <v>28</v>
      </c>
      <c r="I23">
        <v>3</v>
      </c>
      <c r="J23" t="s">
        <v>38</v>
      </c>
      <c r="K23" t="s">
        <v>33</v>
      </c>
      <c r="L23" t="str">
        <f t="shared" si="3"/>
        <v>Dine In</v>
      </c>
      <c r="M23" s="1">
        <f t="shared" si="4"/>
        <v>89000</v>
      </c>
      <c r="P23" t="s">
        <v>45</v>
      </c>
    </row>
    <row r="24" spans="1:17" x14ac:dyDescent="0.35">
      <c r="A24">
        <v>23</v>
      </c>
      <c r="B24" t="str">
        <f t="shared" si="1"/>
        <v>CHT024</v>
      </c>
      <c r="C24" t="s">
        <v>7</v>
      </c>
      <c r="D24" t="s">
        <v>15</v>
      </c>
      <c r="E24" s="1">
        <f t="shared" si="5"/>
        <v>22000</v>
      </c>
      <c r="F24" t="s">
        <v>18</v>
      </c>
      <c r="G24" s="1">
        <f t="shared" si="2"/>
        <v>7000</v>
      </c>
      <c r="H24" t="s">
        <v>28</v>
      </c>
      <c r="I24">
        <v>1</v>
      </c>
      <c r="J24" t="s">
        <v>37</v>
      </c>
      <c r="K24" t="s">
        <v>33</v>
      </c>
      <c r="L24" t="str">
        <f t="shared" si="3"/>
        <v>Take Away</v>
      </c>
      <c r="M24" s="1">
        <f t="shared" si="4"/>
        <v>29000</v>
      </c>
    </row>
    <row r="25" spans="1:17" x14ac:dyDescent="0.35">
      <c r="A25">
        <v>24</v>
      </c>
      <c r="B25" t="str">
        <f t="shared" si="1"/>
        <v>CHT025</v>
      </c>
      <c r="C25" t="s">
        <v>10</v>
      </c>
      <c r="D25" t="s">
        <v>14</v>
      </c>
      <c r="E25" s="1">
        <f t="shared" si="5"/>
        <v>25000</v>
      </c>
      <c r="F25" t="s">
        <v>22</v>
      </c>
      <c r="G25" s="1">
        <f t="shared" si="2"/>
        <v>0</v>
      </c>
      <c r="H25" t="s">
        <v>29</v>
      </c>
      <c r="I25">
        <v>3</v>
      </c>
      <c r="J25" t="s">
        <v>38</v>
      </c>
      <c r="K25" t="s">
        <v>33</v>
      </c>
      <c r="L25" t="str">
        <f t="shared" si="3"/>
        <v>Dine In</v>
      </c>
      <c r="M25" s="1">
        <f t="shared" si="4"/>
        <v>75000</v>
      </c>
    </row>
    <row r="26" spans="1:17" x14ac:dyDescent="0.35">
      <c r="A26">
        <v>25</v>
      </c>
      <c r="B26" t="str">
        <f t="shared" si="1"/>
        <v>CHT026</v>
      </c>
      <c r="C26" t="s">
        <v>12</v>
      </c>
      <c r="D26" t="s">
        <v>14</v>
      </c>
      <c r="E26" s="1">
        <f t="shared" si="5"/>
        <v>22000</v>
      </c>
      <c r="F26" t="s">
        <v>23</v>
      </c>
      <c r="G26" s="1">
        <f t="shared" si="2"/>
        <v>7000</v>
      </c>
      <c r="H26" t="s">
        <v>28</v>
      </c>
      <c r="I26">
        <v>2</v>
      </c>
      <c r="J26" t="s">
        <v>37</v>
      </c>
      <c r="K26" t="s">
        <v>34</v>
      </c>
      <c r="L26" t="str">
        <f t="shared" si="3"/>
        <v>Take Away</v>
      </c>
      <c r="M26" s="1">
        <f t="shared" si="4"/>
        <v>51000</v>
      </c>
    </row>
    <row r="27" spans="1:17" x14ac:dyDescent="0.35">
      <c r="A27">
        <v>26</v>
      </c>
      <c r="B27" t="str">
        <f t="shared" si="1"/>
        <v>CHT027</v>
      </c>
      <c r="C27" t="s">
        <v>3</v>
      </c>
      <c r="D27" t="s">
        <v>15</v>
      </c>
      <c r="E27" s="1">
        <f t="shared" si="5"/>
        <v>22000</v>
      </c>
      <c r="F27" t="s">
        <v>22</v>
      </c>
      <c r="G27" s="1">
        <f t="shared" si="2"/>
        <v>0</v>
      </c>
      <c r="H27" t="s">
        <v>28</v>
      </c>
      <c r="I27">
        <v>3</v>
      </c>
      <c r="J27" t="s">
        <v>38</v>
      </c>
      <c r="K27" t="s">
        <v>31</v>
      </c>
      <c r="L27" t="str">
        <f t="shared" si="3"/>
        <v>Dine In</v>
      </c>
      <c r="M27" s="1">
        <f t="shared" si="4"/>
        <v>66000</v>
      </c>
    </row>
    <row r="28" spans="1:17" x14ac:dyDescent="0.35">
      <c r="A28">
        <v>27</v>
      </c>
      <c r="B28" t="str">
        <f t="shared" si="1"/>
        <v>CHT028</v>
      </c>
      <c r="C28" t="s">
        <v>9</v>
      </c>
      <c r="D28" t="s">
        <v>15</v>
      </c>
      <c r="E28" s="1">
        <f t="shared" si="5"/>
        <v>19000</v>
      </c>
      <c r="F28" t="s">
        <v>24</v>
      </c>
      <c r="G28" s="1">
        <f t="shared" si="2"/>
        <v>5000</v>
      </c>
      <c r="H28" t="s">
        <v>28</v>
      </c>
      <c r="I28">
        <v>2</v>
      </c>
      <c r="J28" t="s">
        <v>38</v>
      </c>
      <c r="K28" t="s">
        <v>34</v>
      </c>
      <c r="L28" t="str">
        <f t="shared" si="3"/>
        <v>Dine In</v>
      </c>
      <c r="M28" s="1">
        <f t="shared" si="4"/>
        <v>43000</v>
      </c>
    </row>
    <row r="29" spans="1:17" x14ac:dyDescent="0.35">
      <c r="A29">
        <v>28</v>
      </c>
      <c r="B29" t="str">
        <f t="shared" si="1"/>
        <v>CHT029</v>
      </c>
      <c r="C29" t="s">
        <v>10</v>
      </c>
      <c r="D29" t="s">
        <v>14</v>
      </c>
      <c r="E29" s="1">
        <f t="shared" si="5"/>
        <v>25000</v>
      </c>
      <c r="F29" t="s">
        <v>19</v>
      </c>
      <c r="G29" s="1">
        <f t="shared" si="2"/>
        <v>7000</v>
      </c>
      <c r="H29" t="s">
        <v>28</v>
      </c>
      <c r="I29">
        <v>3</v>
      </c>
      <c r="J29" t="s">
        <v>37</v>
      </c>
      <c r="K29" t="s">
        <v>33</v>
      </c>
      <c r="L29" t="str">
        <f t="shared" si="3"/>
        <v>Take Away</v>
      </c>
      <c r="M29" s="1">
        <f t="shared" si="4"/>
        <v>82000</v>
      </c>
    </row>
    <row r="30" spans="1:17" x14ac:dyDescent="0.35">
      <c r="A30">
        <v>29</v>
      </c>
      <c r="B30" t="str">
        <f t="shared" si="1"/>
        <v>CHT030</v>
      </c>
      <c r="C30" t="s">
        <v>7</v>
      </c>
      <c r="D30" t="s">
        <v>15</v>
      </c>
      <c r="E30" s="1">
        <f t="shared" si="5"/>
        <v>22000</v>
      </c>
      <c r="F30" t="s">
        <v>22</v>
      </c>
      <c r="G30" s="1">
        <f t="shared" si="2"/>
        <v>0</v>
      </c>
      <c r="H30" t="s">
        <v>29</v>
      </c>
      <c r="I30">
        <v>2</v>
      </c>
      <c r="J30" t="s">
        <v>37</v>
      </c>
      <c r="K30" t="s">
        <v>33</v>
      </c>
      <c r="L30" t="str">
        <f t="shared" si="3"/>
        <v>Take Away</v>
      </c>
      <c r="M30" s="1">
        <f t="shared" si="4"/>
        <v>44000</v>
      </c>
    </row>
    <row r="31" spans="1:17" x14ac:dyDescent="0.35">
      <c r="A31">
        <v>30</v>
      </c>
      <c r="B31" t="str">
        <f t="shared" si="1"/>
        <v>CHT031</v>
      </c>
      <c r="C31" t="s">
        <v>9</v>
      </c>
      <c r="D31" t="s">
        <v>13</v>
      </c>
      <c r="E31" s="1">
        <f t="shared" si="5"/>
        <v>27000</v>
      </c>
      <c r="F31" t="s">
        <v>19</v>
      </c>
      <c r="G31" s="1">
        <f t="shared" si="2"/>
        <v>7000</v>
      </c>
      <c r="H31" t="s">
        <v>28</v>
      </c>
      <c r="I31">
        <v>3</v>
      </c>
      <c r="J31" t="s">
        <v>37</v>
      </c>
      <c r="K31" t="s">
        <v>31</v>
      </c>
      <c r="L31" t="str">
        <f t="shared" si="3"/>
        <v>Take Away</v>
      </c>
      <c r="M31" s="1">
        <f t="shared" si="4"/>
        <v>88000</v>
      </c>
    </row>
    <row r="32" spans="1:17" x14ac:dyDescent="0.35">
      <c r="A32">
        <v>31</v>
      </c>
      <c r="B32" t="str">
        <f t="shared" si="1"/>
        <v>CHT032</v>
      </c>
      <c r="C32" t="s">
        <v>3</v>
      </c>
      <c r="D32" t="s">
        <v>14</v>
      </c>
      <c r="E32" s="1">
        <f t="shared" si="5"/>
        <v>27000</v>
      </c>
      <c r="F32" t="s">
        <v>19</v>
      </c>
      <c r="G32" s="1">
        <f t="shared" si="2"/>
        <v>7000</v>
      </c>
      <c r="H32" t="s">
        <v>28</v>
      </c>
      <c r="I32">
        <v>1</v>
      </c>
      <c r="J32" t="s">
        <v>38</v>
      </c>
      <c r="K32" t="s">
        <v>33</v>
      </c>
      <c r="L32" t="str">
        <f t="shared" si="3"/>
        <v>Dine In</v>
      </c>
      <c r="M32" s="1">
        <f t="shared" si="4"/>
        <v>34000</v>
      </c>
    </row>
    <row r="33" spans="1:13" x14ac:dyDescent="0.35">
      <c r="A33">
        <v>32</v>
      </c>
      <c r="B33" t="str">
        <f t="shared" si="1"/>
        <v>CHT033</v>
      </c>
      <c r="C33" t="s">
        <v>4</v>
      </c>
      <c r="D33" t="s">
        <v>14</v>
      </c>
      <c r="E33" s="1">
        <f t="shared" si="5"/>
        <v>22000</v>
      </c>
      <c r="F33" t="s">
        <v>20</v>
      </c>
      <c r="G33" s="1">
        <f t="shared" si="2"/>
        <v>5000</v>
      </c>
      <c r="H33" t="s">
        <v>29</v>
      </c>
      <c r="I33">
        <v>4</v>
      </c>
      <c r="J33" t="s">
        <v>37</v>
      </c>
      <c r="K33" t="s">
        <v>32</v>
      </c>
      <c r="L33" t="str">
        <f t="shared" si="3"/>
        <v>Take Away</v>
      </c>
      <c r="M33" s="1">
        <f t="shared" si="4"/>
        <v>93000</v>
      </c>
    </row>
    <row r="34" spans="1:13" x14ac:dyDescent="0.35">
      <c r="A34">
        <v>33</v>
      </c>
      <c r="B34" t="str">
        <f t="shared" si="1"/>
        <v>CHT034</v>
      </c>
      <c r="C34" t="s">
        <v>6</v>
      </c>
      <c r="D34" t="s">
        <v>14</v>
      </c>
      <c r="E34" s="1">
        <f t="shared" si="5"/>
        <v>22000</v>
      </c>
      <c r="F34" t="s">
        <v>20</v>
      </c>
      <c r="G34" s="1">
        <f t="shared" si="2"/>
        <v>5000</v>
      </c>
      <c r="H34" t="s">
        <v>29</v>
      </c>
      <c r="I34">
        <v>3</v>
      </c>
      <c r="J34" t="s">
        <v>38</v>
      </c>
      <c r="K34" t="s">
        <v>33</v>
      </c>
      <c r="L34" t="str">
        <f t="shared" si="3"/>
        <v>Dine In</v>
      </c>
      <c r="M34" s="1">
        <f t="shared" si="4"/>
        <v>71000</v>
      </c>
    </row>
    <row r="35" spans="1:13" x14ac:dyDescent="0.35">
      <c r="A35">
        <v>34</v>
      </c>
      <c r="B35" t="str">
        <f t="shared" si="1"/>
        <v>CHT035</v>
      </c>
      <c r="C35" t="s">
        <v>11</v>
      </c>
      <c r="D35" t="s">
        <v>14</v>
      </c>
      <c r="E35" s="1">
        <f t="shared" si="5"/>
        <v>25000</v>
      </c>
      <c r="F35" t="s">
        <v>23</v>
      </c>
      <c r="G35" s="1">
        <f t="shared" si="2"/>
        <v>7000</v>
      </c>
      <c r="H35" t="s">
        <v>28</v>
      </c>
      <c r="I35">
        <v>2</v>
      </c>
      <c r="J35" t="s">
        <v>37</v>
      </c>
      <c r="K35" t="s">
        <v>32</v>
      </c>
      <c r="L35" t="str">
        <f t="shared" si="3"/>
        <v>Take Away</v>
      </c>
      <c r="M35" s="1">
        <f t="shared" si="4"/>
        <v>57000</v>
      </c>
    </row>
    <row r="36" spans="1:13" x14ac:dyDescent="0.35">
      <c r="A36">
        <v>35</v>
      </c>
      <c r="B36" t="str">
        <f t="shared" si="1"/>
        <v>CHT036</v>
      </c>
      <c r="C36" t="s">
        <v>25</v>
      </c>
      <c r="D36" t="s">
        <v>13</v>
      </c>
      <c r="E36" s="1">
        <f t="shared" si="5"/>
        <v>27000</v>
      </c>
      <c r="F36" t="s">
        <v>24</v>
      </c>
      <c r="G36" s="1">
        <f t="shared" si="2"/>
        <v>5000</v>
      </c>
      <c r="H36" t="s">
        <v>29</v>
      </c>
      <c r="I36">
        <v>2</v>
      </c>
      <c r="J36" t="s">
        <v>38</v>
      </c>
      <c r="K36" t="s">
        <v>31</v>
      </c>
      <c r="L36" t="str">
        <f t="shared" si="3"/>
        <v>Dine In</v>
      </c>
      <c r="M36" s="1">
        <f t="shared" si="4"/>
        <v>59000</v>
      </c>
    </row>
    <row r="37" spans="1:13" x14ac:dyDescent="0.35">
      <c r="A37">
        <v>36</v>
      </c>
      <c r="B37" t="str">
        <f t="shared" si="1"/>
        <v>CHT037</v>
      </c>
      <c r="C37" t="s">
        <v>3</v>
      </c>
      <c r="D37" t="s">
        <v>13</v>
      </c>
      <c r="E37" s="1">
        <f t="shared" si="5"/>
        <v>30000</v>
      </c>
      <c r="F37" t="s">
        <v>23</v>
      </c>
      <c r="G37" s="1">
        <f t="shared" si="2"/>
        <v>7000</v>
      </c>
      <c r="H37" t="s">
        <v>28</v>
      </c>
      <c r="I37">
        <v>2</v>
      </c>
      <c r="J37" t="s">
        <v>38</v>
      </c>
      <c r="K37" t="s">
        <v>32</v>
      </c>
      <c r="L37" t="str">
        <f t="shared" si="3"/>
        <v>Dine In</v>
      </c>
      <c r="M37" s="1">
        <f t="shared" si="4"/>
        <v>67000</v>
      </c>
    </row>
    <row r="38" spans="1:13" x14ac:dyDescent="0.35">
      <c r="A38">
        <v>37</v>
      </c>
      <c r="B38" t="str">
        <f t="shared" si="1"/>
        <v>CHT038</v>
      </c>
      <c r="C38" t="s">
        <v>7</v>
      </c>
      <c r="D38" t="s">
        <v>15</v>
      </c>
      <c r="E38" s="1">
        <f t="shared" si="5"/>
        <v>22000</v>
      </c>
      <c r="F38" t="s">
        <v>20</v>
      </c>
      <c r="G38" s="1">
        <f t="shared" si="2"/>
        <v>5000</v>
      </c>
      <c r="H38" t="s">
        <v>29</v>
      </c>
      <c r="I38">
        <v>1</v>
      </c>
      <c r="J38" t="s">
        <v>38</v>
      </c>
      <c r="K38" t="s">
        <v>33</v>
      </c>
      <c r="L38" t="str">
        <f t="shared" si="3"/>
        <v>Dine In</v>
      </c>
      <c r="M38" s="1">
        <f t="shared" si="4"/>
        <v>27000</v>
      </c>
    </row>
    <row r="39" spans="1:13" x14ac:dyDescent="0.35">
      <c r="A39">
        <v>38</v>
      </c>
      <c r="B39" t="str">
        <f t="shared" si="1"/>
        <v>CHT039</v>
      </c>
      <c r="C39" t="s">
        <v>4</v>
      </c>
      <c r="D39" t="s">
        <v>15</v>
      </c>
      <c r="E39" s="1">
        <f t="shared" si="5"/>
        <v>17000</v>
      </c>
      <c r="F39" t="s">
        <v>24</v>
      </c>
      <c r="G39" s="1">
        <f t="shared" si="2"/>
        <v>5000</v>
      </c>
      <c r="H39" t="s">
        <v>29</v>
      </c>
      <c r="I39">
        <v>2</v>
      </c>
      <c r="J39" t="s">
        <v>38</v>
      </c>
      <c r="K39" t="s">
        <v>33</v>
      </c>
      <c r="L39" t="str">
        <f t="shared" si="3"/>
        <v>Dine In</v>
      </c>
      <c r="M39" s="1">
        <f t="shared" si="4"/>
        <v>39000</v>
      </c>
    </row>
    <row r="40" spans="1:13" x14ac:dyDescent="0.35">
      <c r="A40">
        <v>39</v>
      </c>
      <c r="B40" t="str">
        <f t="shared" si="1"/>
        <v>CHT040</v>
      </c>
      <c r="C40" t="s">
        <v>4</v>
      </c>
      <c r="D40" t="s">
        <v>13</v>
      </c>
      <c r="E40" s="1">
        <f t="shared" si="5"/>
        <v>25000</v>
      </c>
      <c r="F40" t="s">
        <v>21</v>
      </c>
      <c r="G40" s="1">
        <f t="shared" si="2"/>
        <v>7000</v>
      </c>
      <c r="H40" t="s">
        <v>29</v>
      </c>
      <c r="I40">
        <v>1</v>
      </c>
      <c r="J40" t="s">
        <v>38</v>
      </c>
      <c r="K40" t="s">
        <v>33</v>
      </c>
      <c r="L40" t="str">
        <f t="shared" si="3"/>
        <v>Dine In</v>
      </c>
      <c r="M40" s="1">
        <f t="shared" si="4"/>
        <v>32000</v>
      </c>
    </row>
    <row r="41" spans="1:13" x14ac:dyDescent="0.35">
      <c r="A41">
        <v>40</v>
      </c>
      <c r="B41" t="str">
        <f t="shared" si="1"/>
        <v>CHT041</v>
      </c>
      <c r="C41" t="s">
        <v>10</v>
      </c>
      <c r="D41" t="s">
        <v>14</v>
      </c>
      <c r="E41" s="1">
        <f t="shared" si="5"/>
        <v>25000</v>
      </c>
      <c r="F41" t="s">
        <v>19</v>
      </c>
      <c r="G41" s="1">
        <f t="shared" si="2"/>
        <v>7000</v>
      </c>
      <c r="H41" t="s">
        <v>29</v>
      </c>
      <c r="I41">
        <v>3</v>
      </c>
      <c r="J41" t="s">
        <v>38</v>
      </c>
      <c r="K41" t="s">
        <v>31</v>
      </c>
      <c r="L41" t="str">
        <f t="shared" si="3"/>
        <v>Dine In</v>
      </c>
      <c r="M41" s="1">
        <f t="shared" si="4"/>
        <v>82000</v>
      </c>
    </row>
    <row r="42" spans="1:13" x14ac:dyDescent="0.35">
      <c r="A42">
        <v>41</v>
      </c>
      <c r="B42" t="str">
        <f t="shared" si="1"/>
        <v>CHT042</v>
      </c>
      <c r="C42" t="s">
        <v>12</v>
      </c>
      <c r="D42" t="s">
        <v>15</v>
      </c>
      <c r="E42" s="1">
        <f t="shared" si="5"/>
        <v>17000</v>
      </c>
      <c r="F42" t="s">
        <v>23</v>
      </c>
      <c r="G42" s="1">
        <f t="shared" si="2"/>
        <v>7000</v>
      </c>
      <c r="H42" t="s">
        <v>29</v>
      </c>
      <c r="I42">
        <v>2</v>
      </c>
      <c r="J42" t="s">
        <v>37</v>
      </c>
      <c r="K42" t="s">
        <v>32</v>
      </c>
      <c r="L42" t="str">
        <f t="shared" si="3"/>
        <v>Take Away</v>
      </c>
      <c r="M42" s="1">
        <f t="shared" si="4"/>
        <v>41000</v>
      </c>
    </row>
    <row r="43" spans="1:13" x14ac:dyDescent="0.35">
      <c r="A43">
        <v>42</v>
      </c>
      <c r="B43" t="str">
        <f t="shared" si="1"/>
        <v>CHT043</v>
      </c>
      <c r="C43" t="s">
        <v>9</v>
      </c>
      <c r="D43" t="s">
        <v>14</v>
      </c>
      <c r="E43" s="1">
        <f t="shared" si="5"/>
        <v>24000</v>
      </c>
      <c r="F43" t="s">
        <v>21</v>
      </c>
      <c r="G43" s="1">
        <f t="shared" si="2"/>
        <v>7000</v>
      </c>
      <c r="H43" t="s">
        <v>28</v>
      </c>
      <c r="I43">
        <v>3</v>
      </c>
      <c r="J43" t="s">
        <v>38</v>
      </c>
      <c r="K43" t="s">
        <v>32</v>
      </c>
      <c r="L43" t="str">
        <f t="shared" si="3"/>
        <v>Dine In</v>
      </c>
      <c r="M43" s="1">
        <f t="shared" si="4"/>
        <v>79000</v>
      </c>
    </row>
    <row r="44" spans="1:13" x14ac:dyDescent="0.35">
      <c r="A44">
        <v>43</v>
      </c>
      <c r="B44" t="str">
        <f t="shared" si="1"/>
        <v>CHT044</v>
      </c>
      <c r="C44" t="s">
        <v>10</v>
      </c>
      <c r="D44" t="s">
        <v>15</v>
      </c>
      <c r="E44" s="1">
        <f t="shared" si="5"/>
        <v>20000</v>
      </c>
      <c r="F44" t="s">
        <v>19</v>
      </c>
      <c r="G44" s="1">
        <f t="shared" si="2"/>
        <v>7000</v>
      </c>
      <c r="H44" t="s">
        <v>28</v>
      </c>
      <c r="I44">
        <v>2</v>
      </c>
      <c r="J44" t="s">
        <v>38</v>
      </c>
      <c r="K44" t="s">
        <v>32</v>
      </c>
      <c r="L44" t="str">
        <f t="shared" si="3"/>
        <v>Dine In</v>
      </c>
      <c r="M44" s="1">
        <f t="shared" si="4"/>
        <v>47000</v>
      </c>
    </row>
    <row r="45" spans="1:13" x14ac:dyDescent="0.35">
      <c r="A45">
        <v>44</v>
      </c>
      <c r="B45" t="str">
        <f t="shared" si="1"/>
        <v>CHT045</v>
      </c>
      <c r="C45" t="s">
        <v>10</v>
      </c>
      <c r="D45" t="s">
        <v>14</v>
      </c>
      <c r="E45" s="1">
        <f t="shared" si="5"/>
        <v>25000</v>
      </c>
      <c r="F45" t="s">
        <v>24</v>
      </c>
      <c r="G45" s="1">
        <f t="shared" si="2"/>
        <v>5000</v>
      </c>
      <c r="H45" t="s">
        <v>29</v>
      </c>
      <c r="I45">
        <v>3</v>
      </c>
      <c r="J45" t="s">
        <v>37</v>
      </c>
      <c r="K45" t="s">
        <v>31</v>
      </c>
      <c r="L45" t="str">
        <f t="shared" si="3"/>
        <v>Take Away</v>
      </c>
      <c r="M45" s="1">
        <f t="shared" si="4"/>
        <v>80000</v>
      </c>
    </row>
    <row r="46" spans="1:13" x14ac:dyDescent="0.35">
      <c r="A46">
        <v>45</v>
      </c>
      <c r="B46" t="str">
        <f t="shared" si="1"/>
        <v>CHT046</v>
      </c>
      <c r="C46" t="s">
        <v>12</v>
      </c>
      <c r="D46" t="s">
        <v>14</v>
      </c>
      <c r="E46" s="1">
        <f t="shared" si="5"/>
        <v>22000</v>
      </c>
      <c r="F46" t="s">
        <v>20</v>
      </c>
      <c r="G46" s="1">
        <f t="shared" si="2"/>
        <v>5000</v>
      </c>
      <c r="H46" t="s">
        <v>29</v>
      </c>
      <c r="I46">
        <v>1</v>
      </c>
      <c r="J46" t="s">
        <v>37</v>
      </c>
      <c r="K46" t="s">
        <v>31</v>
      </c>
      <c r="L46" t="str">
        <f t="shared" si="3"/>
        <v>Take Away</v>
      </c>
      <c r="M46" s="1">
        <f t="shared" si="4"/>
        <v>27000</v>
      </c>
    </row>
    <row r="47" spans="1:13" x14ac:dyDescent="0.35">
      <c r="A47">
        <v>46</v>
      </c>
      <c r="B47" t="str">
        <f t="shared" si="1"/>
        <v>CHT047</v>
      </c>
      <c r="C47" t="s">
        <v>9</v>
      </c>
      <c r="D47" t="s">
        <v>13</v>
      </c>
      <c r="E47" s="1">
        <f t="shared" si="5"/>
        <v>27000</v>
      </c>
      <c r="F47" t="s">
        <v>22</v>
      </c>
      <c r="G47" s="1">
        <f t="shared" si="2"/>
        <v>0</v>
      </c>
      <c r="H47" t="s">
        <v>28</v>
      </c>
      <c r="I47">
        <v>2</v>
      </c>
      <c r="J47" t="s">
        <v>38</v>
      </c>
      <c r="K47" t="s">
        <v>33</v>
      </c>
      <c r="L47" t="str">
        <f t="shared" si="3"/>
        <v>Dine In</v>
      </c>
      <c r="M47" s="1">
        <f t="shared" si="4"/>
        <v>54000</v>
      </c>
    </row>
    <row r="48" spans="1:13" x14ac:dyDescent="0.35">
      <c r="A48">
        <v>47</v>
      </c>
      <c r="B48" t="str">
        <f t="shared" si="1"/>
        <v>CHT048</v>
      </c>
      <c r="C48" t="s">
        <v>12</v>
      </c>
      <c r="D48" t="s">
        <v>13</v>
      </c>
      <c r="E48" s="1">
        <f t="shared" si="5"/>
        <v>25000</v>
      </c>
      <c r="F48" t="s">
        <v>19</v>
      </c>
      <c r="G48" s="1">
        <f t="shared" si="2"/>
        <v>7000</v>
      </c>
      <c r="H48" t="s">
        <v>29</v>
      </c>
      <c r="I48">
        <v>1</v>
      </c>
      <c r="J48" t="s">
        <v>37</v>
      </c>
      <c r="K48" t="s">
        <v>33</v>
      </c>
      <c r="L48" t="str">
        <f t="shared" si="3"/>
        <v>Take Away</v>
      </c>
      <c r="M48" s="1">
        <f t="shared" si="4"/>
        <v>32000</v>
      </c>
    </row>
    <row r="49" spans="1:13" x14ac:dyDescent="0.35">
      <c r="A49">
        <v>48</v>
      </c>
      <c r="B49" t="str">
        <f t="shared" si="1"/>
        <v>CHT049</v>
      </c>
      <c r="C49" t="s">
        <v>10</v>
      </c>
      <c r="D49" t="s">
        <v>15</v>
      </c>
      <c r="E49" s="1">
        <f t="shared" si="5"/>
        <v>20000</v>
      </c>
      <c r="F49" t="s">
        <v>22</v>
      </c>
      <c r="G49" s="1">
        <f t="shared" si="2"/>
        <v>0</v>
      </c>
      <c r="H49" t="s">
        <v>28</v>
      </c>
      <c r="I49">
        <v>3</v>
      </c>
      <c r="J49" t="s">
        <v>37</v>
      </c>
      <c r="K49" t="s">
        <v>34</v>
      </c>
      <c r="L49" t="str">
        <f t="shared" si="3"/>
        <v>Take Away</v>
      </c>
      <c r="M49" s="1">
        <f t="shared" si="4"/>
        <v>60000</v>
      </c>
    </row>
    <row r="50" spans="1:13" x14ac:dyDescent="0.35">
      <c r="A50">
        <v>49</v>
      </c>
      <c r="B50" t="str">
        <f t="shared" si="1"/>
        <v>CHT050</v>
      </c>
      <c r="C50" t="s">
        <v>10</v>
      </c>
      <c r="D50" t="s">
        <v>15</v>
      </c>
      <c r="E50" s="1">
        <f t="shared" si="5"/>
        <v>20000</v>
      </c>
      <c r="F50" t="s">
        <v>23</v>
      </c>
      <c r="G50" s="1">
        <f t="shared" si="2"/>
        <v>7000</v>
      </c>
      <c r="H50" t="s">
        <v>28</v>
      </c>
      <c r="I50">
        <v>1</v>
      </c>
      <c r="J50" t="s">
        <v>38</v>
      </c>
      <c r="K50" t="s">
        <v>31</v>
      </c>
      <c r="L50" t="str">
        <f t="shared" si="3"/>
        <v>Dine In</v>
      </c>
      <c r="M50" s="1">
        <f t="shared" si="4"/>
        <v>27000</v>
      </c>
    </row>
    <row r="51" spans="1:13" x14ac:dyDescent="0.35">
      <c r="A51">
        <v>50</v>
      </c>
      <c r="B51" t="str">
        <f t="shared" si="1"/>
        <v>CHT051</v>
      </c>
      <c r="C51" t="s">
        <v>5</v>
      </c>
      <c r="D51" t="s">
        <v>15</v>
      </c>
      <c r="E51" s="1">
        <f t="shared" ref="E51:E82" si="6">IF(C51="Cheese Balls",12000,INDEX($Q$2:$S$12,MATCH(C51,$P$2:$P$12,0),MATCH(D51,$Q$1:$S$1,0)))</f>
        <v>20000</v>
      </c>
      <c r="F51" t="s">
        <v>18</v>
      </c>
      <c r="G51" s="1">
        <f t="shared" si="2"/>
        <v>7000</v>
      </c>
      <c r="H51" t="s">
        <v>29</v>
      </c>
      <c r="I51">
        <v>2</v>
      </c>
      <c r="J51" t="s">
        <v>38</v>
      </c>
      <c r="K51" t="s">
        <v>31</v>
      </c>
      <c r="L51" t="str">
        <f t="shared" si="3"/>
        <v>Dine In</v>
      </c>
      <c r="M51" s="1">
        <f t="shared" si="4"/>
        <v>47000</v>
      </c>
    </row>
    <row r="52" spans="1:13" x14ac:dyDescent="0.35">
      <c r="A52">
        <v>51</v>
      </c>
      <c r="B52" t="str">
        <f t="shared" si="1"/>
        <v>CHT052</v>
      </c>
      <c r="C52" t="s">
        <v>5</v>
      </c>
      <c r="D52" t="s">
        <v>14</v>
      </c>
      <c r="E52" s="1">
        <f t="shared" si="6"/>
        <v>24000</v>
      </c>
      <c r="F52" t="s">
        <v>24</v>
      </c>
      <c r="G52" s="1">
        <f t="shared" si="2"/>
        <v>5000</v>
      </c>
      <c r="H52" t="s">
        <v>28</v>
      </c>
      <c r="I52">
        <v>2</v>
      </c>
      <c r="J52" t="s">
        <v>38</v>
      </c>
      <c r="K52" t="s">
        <v>33</v>
      </c>
      <c r="L52" t="str">
        <f t="shared" si="3"/>
        <v>Dine In</v>
      </c>
      <c r="M52" s="1">
        <f t="shared" si="4"/>
        <v>53000</v>
      </c>
    </row>
    <row r="53" spans="1:13" x14ac:dyDescent="0.35">
      <c r="A53">
        <v>52</v>
      </c>
      <c r="B53" t="str">
        <f t="shared" si="1"/>
        <v>CHT053</v>
      </c>
      <c r="C53" t="s">
        <v>11</v>
      </c>
      <c r="D53" t="s">
        <v>14</v>
      </c>
      <c r="E53" s="1">
        <f t="shared" si="6"/>
        <v>25000</v>
      </c>
      <c r="F53" t="s">
        <v>18</v>
      </c>
      <c r="G53" s="1">
        <f t="shared" si="2"/>
        <v>7000</v>
      </c>
      <c r="H53" t="s">
        <v>28</v>
      </c>
      <c r="I53">
        <v>3</v>
      </c>
      <c r="J53" t="s">
        <v>37</v>
      </c>
      <c r="K53" t="s">
        <v>31</v>
      </c>
      <c r="L53" t="str">
        <f t="shared" si="3"/>
        <v>Take Away</v>
      </c>
      <c r="M53" s="1">
        <f t="shared" si="4"/>
        <v>82000</v>
      </c>
    </row>
    <row r="54" spans="1:13" x14ac:dyDescent="0.35">
      <c r="A54">
        <v>53</v>
      </c>
      <c r="B54" t="str">
        <f t="shared" si="1"/>
        <v>CHT054</v>
      </c>
      <c r="C54" t="s">
        <v>10</v>
      </c>
      <c r="D54" t="s">
        <v>15</v>
      </c>
      <c r="E54" s="1">
        <f t="shared" si="6"/>
        <v>20000</v>
      </c>
      <c r="F54" t="s">
        <v>21</v>
      </c>
      <c r="G54" s="1">
        <f t="shared" si="2"/>
        <v>7000</v>
      </c>
      <c r="H54" t="s">
        <v>29</v>
      </c>
      <c r="I54">
        <v>3</v>
      </c>
      <c r="J54" t="s">
        <v>37</v>
      </c>
      <c r="K54" t="s">
        <v>33</v>
      </c>
      <c r="L54" t="str">
        <f t="shared" si="3"/>
        <v>Take Away</v>
      </c>
      <c r="M54" s="1">
        <f t="shared" si="4"/>
        <v>67000</v>
      </c>
    </row>
    <row r="55" spans="1:13" x14ac:dyDescent="0.35">
      <c r="A55">
        <v>54</v>
      </c>
      <c r="B55" t="str">
        <f t="shared" si="1"/>
        <v>CHT055</v>
      </c>
      <c r="C55" t="s">
        <v>8</v>
      </c>
      <c r="D55" t="s">
        <v>13</v>
      </c>
      <c r="E55" s="1">
        <f t="shared" si="6"/>
        <v>25000</v>
      </c>
      <c r="F55" t="s">
        <v>18</v>
      </c>
      <c r="G55" s="1">
        <f t="shared" si="2"/>
        <v>7000</v>
      </c>
      <c r="H55" t="s">
        <v>28</v>
      </c>
      <c r="I55">
        <v>1</v>
      </c>
      <c r="J55" t="s">
        <v>37</v>
      </c>
      <c r="K55" t="s">
        <v>33</v>
      </c>
      <c r="L55" t="str">
        <f t="shared" si="3"/>
        <v>Take Away</v>
      </c>
      <c r="M55" s="1">
        <f t="shared" si="4"/>
        <v>32000</v>
      </c>
    </row>
    <row r="56" spans="1:13" x14ac:dyDescent="0.35">
      <c r="A56">
        <v>55</v>
      </c>
      <c r="B56" t="str">
        <f t="shared" si="1"/>
        <v>CHT056</v>
      </c>
      <c r="C56" t="s">
        <v>6</v>
      </c>
      <c r="D56" t="s">
        <v>15</v>
      </c>
      <c r="E56" s="1">
        <f t="shared" si="6"/>
        <v>17000</v>
      </c>
      <c r="F56" t="s">
        <v>20</v>
      </c>
      <c r="G56" s="1">
        <f t="shared" si="2"/>
        <v>5000</v>
      </c>
      <c r="H56" t="s">
        <v>29</v>
      </c>
      <c r="I56">
        <v>3</v>
      </c>
      <c r="J56" t="s">
        <v>38</v>
      </c>
      <c r="K56" t="s">
        <v>32</v>
      </c>
      <c r="L56" t="str">
        <f t="shared" si="3"/>
        <v>Dine In</v>
      </c>
      <c r="M56" s="1">
        <f t="shared" si="4"/>
        <v>56000</v>
      </c>
    </row>
    <row r="57" spans="1:13" x14ac:dyDescent="0.35">
      <c r="A57">
        <v>56</v>
      </c>
      <c r="B57" t="str">
        <f t="shared" si="1"/>
        <v>CHT057</v>
      </c>
      <c r="C57" t="s">
        <v>25</v>
      </c>
      <c r="D57" t="s">
        <v>14</v>
      </c>
      <c r="E57" s="1">
        <f t="shared" si="6"/>
        <v>25000</v>
      </c>
      <c r="F57" t="s">
        <v>23</v>
      </c>
      <c r="G57" s="1">
        <f t="shared" si="2"/>
        <v>7000</v>
      </c>
      <c r="H57" t="s">
        <v>28</v>
      </c>
      <c r="I57">
        <v>3</v>
      </c>
      <c r="J57" t="s">
        <v>38</v>
      </c>
      <c r="K57" t="s">
        <v>33</v>
      </c>
      <c r="L57" t="str">
        <f t="shared" si="3"/>
        <v>Dine In</v>
      </c>
      <c r="M57" s="1">
        <f t="shared" si="4"/>
        <v>82000</v>
      </c>
    </row>
    <row r="58" spans="1:13" x14ac:dyDescent="0.35">
      <c r="A58">
        <v>57</v>
      </c>
      <c r="B58" t="str">
        <f t="shared" si="1"/>
        <v>CHT058</v>
      </c>
      <c r="C58" t="s">
        <v>6</v>
      </c>
      <c r="D58" t="s">
        <v>14</v>
      </c>
      <c r="E58" s="1">
        <f t="shared" si="6"/>
        <v>22000</v>
      </c>
      <c r="F58" t="s">
        <v>20</v>
      </c>
      <c r="G58" s="1">
        <f t="shared" si="2"/>
        <v>5000</v>
      </c>
      <c r="H58" t="s">
        <v>28</v>
      </c>
      <c r="I58">
        <v>2</v>
      </c>
      <c r="J58" t="s">
        <v>38</v>
      </c>
      <c r="K58" t="s">
        <v>31</v>
      </c>
      <c r="L58" t="str">
        <f t="shared" si="3"/>
        <v>Dine In</v>
      </c>
      <c r="M58" s="1">
        <f t="shared" si="4"/>
        <v>49000</v>
      </c>
    </row>
    <row r="59" spans="1:13" x14ac:dyDescent="0.35">
      <c r="A59">
        <v>58</v>
      </c>
      <c r="B59" t="str">
        <f t="shared" si="1"/>
        <v>CHT059</v>
      </c>
      <c r="C59" t="s">
        <v>3</v>
      </c>
      <c r="D59" t="s">
        <v>14</v>
      </c>
      <c r="E59" s="1">
        <f t="shared" si="6"/>
        <v>27000</v>
      </c>
      <c r="F59" t="s">
        <v>19</v>
      </c>
      <c r="G59" s="1">
        <f t="shared" si="2"/>
        <v>7000</v>
      </c>
      <c r="H59" t="s">
        <v>29</v>
      </c>
      <c r="I59">
        <v>2</v>
      </c>
      <c r="J59" t="s">
        <v>37</v>
      </c>
      <c r="K59" t="s">
        <v>31</v>
      </c>
      <c r="L59" t="str">
        <f t="shared" si="3"/>
        <v>Take Away</v>
      </c>
      <c r="M59" s="1">
        <f t="shared" si="4"/>
        <v>61000</v>
      </c>
    </row>
    <row r="60" spans="1:13" x14ac:dyDescent="0.35">
      <c r="A60">
        <v>59</v>
      </c>
      <c r="B60" t="str">
        <f t="shared" si="1"/>
        <v>CHT060</v>
      </c>
      <c r="C60" t="s">
        <v>11</v>
      </c>
      <c r="D60" t="s">
        <v>15</v>
      </c>
      <c r="E60" s="1">
        <f t="shared" si="6"/>
        <v>21000</v>
      </c>
      <c r="F60" t="s">
        <v>21</v>
      </c>
      <c r="G60" s="1">
        <f t="shared" si="2"/>
        <v>7000</v>
      </c>
      <c r="H60" t="s">
        <v>29</v>
      </c>
      <c r="I60">
        <v>2</v>
      </c>
      <c r="J60" t="s">
        <v>38</v>
      </c>
      <c r="K60" t="s">
        <v>34</v>
      </c>
      <c r="L60" t="str">
        <f t="shared" si="3"/>
        <v>Dine In</v>
      </c>
      <c r="M60" s="1">
        <f t="shared" si="4"/>
        <v>49000</v>
      </c>
    </row>
    <row r="61" spans="1:13" x14ac:dyDescent="0.35">
      <c r="A61">
        <v>60</v>
      </c>
      <c r="B61" t="str">
        <f t="shared" si="1"/>
        <v>CHT061</v>
      </c>
      <c r="C61" t="s">
        <v>12</v>
      </c>
      <c r="D61" t="s">
        <v>15</v>
      </c>
      <c r="E61" s="1">
        <f t="shared" si="6"/>
        <v>17000</v>
      </c>
      <c r="F61" t="s">
        <v>18</v>
      </c>
      <c r="G61" s="1">
        <f t="shared" si="2"/>
        <v>7000</v>
      </c>
      <c r="H61" t="s">
        <v>29</v>
      </c>
      <c r="I61">
        <v>3</v>
      </c>
      <c r="J61" t="s">
        <v>37</v>
      </c>
      <c r="K61" t="s">
        <v>31</v>
      </c>
      <c r="L61" t="str">
        <f t="shared" si="3"/>
        <v>Take Away</v>
      </c>
      <c r="M61" s="1">
        <f t="shared" si="4"/>
        <v>58000</v>
      </c>
    </row>
    <row r="62" spans="1:13" x14ac:dyDescent="0.35">
      <c r="A62">
        <v>61</v>
      </c>
      <c r="B62" t="str">
        <f t="shared" si="1"/>
        <v>CHT062</v>
      </c>
      <c r="C62" t="s">
        <v>12</v>
      </c>
      <c r="D62" t="s">
        <v>14</v>
      </c>
      <c r="E62" s="1">
        <f t="shared" si="6"/>
        <v>22000</v>
      </c>
      <c r="F62" t="s">
        <v>23</v>
      </c>
      <c r="G62" s="1">
        <f t="shared" si="2"/>
        <v>7000</v>
      </c>
      <c r="H62" t="s">
        <v>29</v>
      </c>
      <c r="I62">
        <v>1</v>
      </c>
      <c r="J62" t="s">
        <v>38</v>
      </c>
      <c r="K62" t="s">
        <v>31</v>
      </c>
      <c r="L62" t="str">
        <f t="shared" si="3"/>
        <v>Dine In</v>
      </c>
      <c r="M62" s="1">
        <f t="shared" si="4"/>
        <v>29000</v>
      </c>
    </row>
    <row r="63" spans="1:13" x14ac:dyDescent="0.35">
      <c r="A63">
        <v>62</v>
      </c>
      <c r="B63" t="str">
        <f t="shared" si="1"/>
        <v>CHT063</v>
      </c>
      <c r="C63" t="s">
        <v>10</v>
      </c>
      <c r="D63" t="s">
        <v>13</v>
      </c>
      <c r="E63" s="1">
        <f t="shared" si="6"/>
        <v>28000</v>
      </c>
      <c r="F63" t="s">
        <v>21</v>
      </c>
      <c r="G63" s="1">
        <f t="shared" si="2"/>
        <v>7000</v>
      </c>
      <c r="H63" t="s">
        <v>28</v>
      </c>
      <c r="I63">
        <v>3</v>
      </c>
      <c r="J63" t="s">
        <v>38</v>
      </c>
      <c r="K63" t="s">
        <v>31</v>
      </c>
      <c r="L63" t="str">
        <f t="shared" si="3"/>
        <v>Dine In</v>
      </c>
      <c r="M63" s="1">
        <f t="shared" si="4"/>
        <v>91000</v>
      </c>
    </row>
    <row r="64" spans="1:13" x14ac:dyDescent="0.35">
      <c r="A64">
        <v>63</v>
      </c>
      <c r="B64" t="str">
        <f t="shared" si="1"/>
        <v>CHT064</v>
      </c>
      <c r="C64" t="s">
        <v>3</v>
      </c>
      <c r="D64" t="s">
        <v>13</v>
      </c>
      <c r="E64" s="1">
        <f t="shared" si="6"/>
        <v>30000</v>
      </c>
      <c r="F64" t="s">
        <v>19</v>
      </c>
      <c r="G64" s="1">
        <f t="shared" si="2"/>
        <v>7000</v>
      </c>
      <c r="H64" t="s">
        <v>28</v>
      </c>
      <c r="I64">
        <v>1</v>
      </c>
      <c r="J64" t="s">
        <v>38</v>
      </c>
      <c r="K64" t="s">
        <v>33</v>
      </c>
      <c r="L64" t="str">
        <f t="shared" si="3"/>
        <v>Dine In</v>
      </c>
      <c r="M64" s="1">
        <f t="shared" si="4"/>
        <v>37000</v>
      </c>
    </row>
    <row r="65" spans="1:13" x14ac:dyDescent="0.35">
      <c r="A65">
        <v>64</v>
      </c>
      <c r="B65" t="str">
        <f t="shared" si="1"/>
        <v>CHT065</v>
      </c>
      <c r="C65" t="s">
        <v>10</v>
      </c>
      <c r="D65" t="s">
        <v>15</v>
      </c>
      <c r="E65" s="1">
        <f t="shared" si="6"/>
        <v>20000</v>
      </c>
      <c r="F65" t="s">
        <v>24</v>
      </c>
      <c r="G65" s="1">
        <f t="shared" si="2"/>
        <v>5000</v>
      </c>
      <c r="H65" t="s">
        <v>28</v>
      </c>
      <c r="I65">
        <v>1</v>
      </c>
      <c r="J65" t="s">
        <v>38</v>
      </c>
      <c r="K65" t="s">
        <v>34</v>
      </c>
      <c r="L65" t="str">
        <f t="shared" si="3"/>
        <v>Dine In</v>
      </c>
      <c r="M65" s="1">
        <f t="shared" si="4"/>
        <v>25000</v>
      </c>
    </row>
    <row r="66" spans="1:13" x14ac:dyDescent="0.35">
      <c r="A66">
        <v>65</v>
      </c>
      <c r="B66" t="str">
        <f t="shared" si="1"/>
        <v>CHT066</v>
      </c>
      <c r="C66" t="s">
        <v>40</v>
      </c>
      <c r="D66" t="s">
        <v>22</v>
      </c>
      <c r="E66" s="1">
        <f t="shared" si="6"/>
        <v>12000</v>
      </c>
      <c r="F66" t="s">
        <v>22</v>
      </c>
      <c r="G66" s="1">
        <f t="shared" si="2"/>
        <v>0</v>
      </c>
      <c r="H66" t="s">
        <v>22</v>
      </c>
      <c r="I66">
        <v>1</v>
      </c>
      <c r="J66" t="s">
        <v>38</v>
      </c>
      <c r="K66" t="s">
        <v>33</v>
      </c>
      <c r="L66" t="str">
        <f t="shared" si="3"/>
        <v>Dine In</v>
      </c>
      <c r="M66" s="1">
        <f t="shared" si="4"/>
        <v>12000</v>
      </c>
    </row>
    <row r="67" spans="1:13" x14ac:dyDescent="0.35">
      <c r="A67">
        <v>66</v>
      </c>
      <c r="B67" t="str">
        <f t="shared" ref="B67:B101" si="7">"CHT"&amp;TEXT(ROW(B67),"000")</f>
        <v>CHT067</v>
      </c>
      <c r="C67" t="s">
        <v>3</v>
      </c>
      <c r="D67" t="s">
        <v>14</v>
      </c>
      <c r="E67" s="1">
        <f t="shared" si="6"/>
        <v>27000</v>
      </c>
      <c r="F67" t="s">
        <v>18</v>
      </c>
      <c r="G67" s="1">
        <f t="shared" ref="G67:G101" si="8">IFERROR(VLOOKUP(F67,$P$16:$Q$21,2,0),0)</f>
        <v>7000</v>
      </c>
      <c r="H67" t="s">
        <v>29</v>
      </c>
      <c r="I67">
        <v>2</v>
      </c>
      <c r="J67" t="s">
        <v>37</v>
      </c>
      <c r="K67" t="s">
        <v>34</v>
      </c>
      <c r="L67" t="str">
        <f t="shared" ref="L67:L101" si="9">IF(J67="Yes","Take Away","Dine In")</f>
        <v>Take Away</v>
      </c>
      <c r="M67" s="1">
        <f t="shared" ref="M67:M101" si="10">E67*I67+G67</f>
        <v>61000</v>
      </c>
    </row>
    <row r="68" spans="1:13" x14ac:dyDescent="0.35">
      <c r="A68">
        <v>67</v>
      </c>
      <c r="B68" t="str">
        <f t="shared" si="7"/>
        <v>CHT068</v>
      </c>
      <c r="C68" t="s">
        <v>12</v>
      </c>
      <c r="D68" t="s">
        <v>15</v>
      </c>
      <c r="E68" s="1">
        <f t="shared" si="6"/>
        <v>17000</v>
      </c>
      <c r="F68" t="s">
        <v>21</v>
      </c>
      <c r="G68" s="1">
        <f t="shared" si="8"/>
        <v>7000</v>
      </c>
      <c r="H68" t="s">
        <v>29</v>
      </c>
      <c r="I68">
        <v>1</v>
      </c>
      <c r="J68" t="s">
        <v>38</v>
      </c>
      <c r="K68" t="s">
        <v>33</v>
      </c>
      <c r="L68" t="str">
        <f t="shared" si="9"/>
        <v>Dine In</v>
      </c>
      <c r="M68" s="1">
        <f t="shared" si="10"/>
        <v>24000</v>
      </c>
    </row>
    <row r="69" spans="1:13" x14ac:dyDescent="0.35">
      <c r="A69">
        <v>68</v>
      </c>
      <c r="B69" t="str">
        <f t="shared" si="7"/>
        <v>CHT069</v>
      </c>
      <c r="C69" t="s">
        <v>11</v>
      </c>
      <c r="D69" t="s">
        <v>15</v>
      </c>
      <c r="E69" s="1">
        <f t="shared" si="6"/>
        <v>21000</v>
      </c>
      <c r="F69" t="s">
        <v>21</v>
      </c>
      <c r="G69" s="1">
        <f t="shared" si="8"/>
        <v>7000</v>
      </c>
      <c r="H69" t="s">
        <v>28</v>
      </c>
      <c r="I69">
        <v>3</v>
      </c>
      <c r="J69" t="s">
        <v>38</v>
      </c>
      <c r="K69" t="s">
        <v>32</v>
      </c>
      <c r="L69" t="str">
        <f t="shared" si="9"/>
        <v>Dine In</v>
      </c>
      <c r="M69" s="1">
        <f t="shared" si="10"/>
        <v>70000</v>
      </c>
    </row>
    <row r="70" spans="1:13" x14ac:dyDescent="0.35">
      <c r="A70">
        <v>69</v>
      </c>
      <c r="B70" t="str">
        <f t="shared" si="7"/>
        <v>CHT070</v>
      </c>
      <c r="C70" t="s">
        <v>4</v>
      </c>
      <c r="D70" t="s">
        <v>13</v>
      </c>
      <c r="E70" s="1">
        <f t="shared" si="6"/>
        <v>25000</v>
      </c>
      <c r="F70" t="s">
        <v>21</v>
      </c>
      <c r="G70" s="1">
        <f t="shared" si="8"/>
        <v>7000</v>
      </c>
      <c r="H70" t="s">
        <v>29</v>
      </c>
      <c r="I70">
        <v>2</v>
      </c>
      <c r="J70" t="s">
        <v>37</v>
      </c>
      <c r="K70" t="s">
        <v>33</v>
      </c>
      <c r="L70" t="str">
        <f t="shared" si="9"/>
        <v>Take Away</v>
      </c>
      <c r="M70" s="1">
        <f t="shared" si="10"/>
        <v>57000</v>
      </c>
    </row>
    <row r="71" spans="1:13" x14ac:dyDescent="0.35">
      <c r="A71">
        <v>70</v>
      </c>
      <c r="B71" t="str">
        <f t="shared" si="7"/>
        <v>CHT071</v>
      </c>
      <c r="C71" t="s">
        <v>12</v>
      </c>
      <c r="D71" t="s">
        <v>15</v>
      </c>
      <c r="E71" s="1">
        <f t="shared" si="6"/>
        <v>17000</v>
      </c>
      <c r="F71" t="s">
        <v>23</v>
      </c>
      <c r="G71" s="1">
        <f t="shared" si="8"/>
        <v>7000</v>
      </c>
      <c r="H71" t="s">
        <v>29</v>
      </c>
      <c r="I71">
        <v>3</v>
      </c>
      <c r="J71" t="s">
        <v>37</v>
      </c>
      <c r="K71" t="s">
        <v>32</v>
      </c>
      <c r="L71" t="str">
        <f t="shared" si="9"/>
        <v>Take Away</v>
      </c>
      <c r="M71" s="1">
        <f t="shared" si="10"/>
        <v>58000</v>
      </c>
    </row>
    <row r="72" spans="1:13" x14ac:dyDescent="0.35">
      <c r="A72">
        <v>71</v>
      </c>
      <c r="B72" t="str">
        <f t="shared" si="7"/>
        <v>CHT072</v>
      </c>
      <c r="C72" t="s">
        <v>9</v>
      </c>
      <c r="D72" t="s">
        <v>15</v>
      </c>
      <c r="E72" s="1">
        <f t="shared" si="6"/>
        <v>19000</v>
      </c>
      <c r="F72" t="s">
        <v>18</v>
      </c>
      <c r="G72" s="1">
        <f t="shared" si="8"/>
        <v>7000</v>
      </c>
      <c r="H72" t="s">
        <v>28</v>
      </c>
      <c r="I72">
        <v>3</v>
      </c>
      <c r="J72" t="s">
        <v>38</v>
      </c>
      <c r="K72" t="s">
        <v>34</v>
      </c>
      <c r="L72" t="str">
        <f t="shared" si="9"/>
        <v>Dine In</v>
      </c>
      <c r="M72" s="1">
        <f t="shared" si="10"/>
        <v>64000</v>
      </c>
    </row>
    <row r="73" spans="1:13" x14ac:dyDescent="0.35">
      <c r="A73">
        <v>72</v>
      </c>
      <c r="B73" t="str">
        <f t="shared" si="7"/>
        <v>CHT073</v>
      </c>
      <c r="C73" t="s">
        <v>3</v>
      </c>
      <c r="D73" t="s">
        <v>14</v>
      </c>
      <c r="E73" s="1">
        <f t="shared" si="6"/>
        <v>27000</v>
      </c>
      <c r="F73" t="s">
        <v>20</v>
      </c>
      <c r="G73" s="1">
        <f t="shared" si="8"/>
        <v>5000</v>
      </c>
      <c r="H73" t="s">
        <v>29</v>
      </c>
      <c r="I73">
        <v>1</v>
      </c>
      <c r="J73" t="s">
        <v>37</v>
      </c>
      <c r="K73" t="s">
        <v>31</v>
      </c>
      <c r="L73" t="str">
        <f t="shared" si="9"/>
        <v>Take Away</v>
      </c>
      <c r="M73" s="1">
        <f t="shared" si="10"/>
        <v>32000</v>
      </c>
    </row>
    <row r="74" spans="1:13" x14ac:dyDescent="0.35">
      <c r="A74">
        <v>73</v>
      </c>
      <c r="B74" t="str">
        <f t="shared" si="7"/>
        <v>CHT074</v>
      </c>
      <c r="C74" t="s">
        <v>7</v>
      </c>
      <c r="D74" t="s">
        <v>13</v>
      </c>
      <c r="E74" s="1">
        <f t="shared" si="6"/>
        <v>29000</v>
      </c>
      <c r="F74" t="s">
        <v>24</v>
      </c>
      <c r="G74" s="1">
        <f t="shared" si="8"/>
        <v>5000</v>
      </c>
      <c r="H74" t="s">
        <v>28</v>
      </c>
      <c r="I74">
        <v>1</v>
      </c>
      <c r="J74" t="s">
        <v>38</v>
      </c>
      <c r="K74" t="s">
        <v>33</v>
      </c>
      <c r="L74" t="str">
        <f t="shared" si="9"/>
        <v>Dine In</v>
      </c>
      <c r="M74" s="1">
        <f t="shared" si="10"/>
        <v>34000</v>
      </c>
    </row>
    <row r="75" spans="1:13" x14ac:dyDescent="0.35">
      <c r="A75">
        <v>74</v>
      </c>
      <c r="B75" t="str">
        <f t="shared" si="7"/>
        <v>CHT075</v>
      </c>
      <c r="C75" t="s">
        <v>6</v>
      </c>
      <c r="D75" t="s">
        <v>13</v>
      </c>
      <c r="E75" s="1">
        <f t="shared" si="6"/>
        <v>25000</v>
      </c>
      <c r="F75" t="s">
        <v>18</v>
      </c>
      <c r="G75" s="1">
        <f t="shared" si="8"/>
        <v>7000</v>
      </c>
      <c r="H75" t="s">
        <v>29</v>
      </c>
      <c r="I75">
        <v>2</v>
      </c>
      <c r="J75" t="s">
        <v>38</v>
      </c>
      <c r="K75" t="s">
        <v>33</v>
      </c>
      <c r="L75" t="str">
        <f t="shared" si="9"/>
        <v>Dine In</v>
      </c>
      <c r="M75" s="1">
        <f t="shared" si="10"/>
        <v>57000</v>
      </c>
    </row>
    <row r="76" spans="1:13" x14ac:dyDescent="0.35">
      <c r="A76">
        <v>75</v>
      </c>
      <c r="B76" t="str">
        <f t="shared" si="7"/>
        <v>CHT076</v>
      </c>
      <c r="C76" t="s">
        <v>7</v>
      </c>
      <c r="D76" t="s">
        <v>13</v>
      </c>
      <c r="E76" s="1">
        <f t="shared" si="6"/>
        <v>29000</v>
      </c>
      <c r="F76" t="s">
        <v>24</v>
      </c>
      <c r="G76" s="1">
        <f t="shared" si="8"/>
        <v>5000</v>
      </c>
      <c r="H76" t="s">
        <v>28</v>
      </c>
      <c r="I76">
        <v>3</v>
      </c>
      <c r="J76" t="s">
        <v>38</v>
      </c>
      <c r="K76" t="s">
        <v>31</v>
      </c>
      <c r="L76" t="str">
        <f t="shared" si="9"/>
        <v>Dine In</v>
      </c>
      <c r="M76" s="1">
        <f t="shared" si="10"/>
        <v>92000</v>
      </c>
    </row>
    <row r="77" spans="1:13" x14ac:dyDescent="0.35">
      <c r="A77">
        <v>76</v>
      </c>
      <c r="B77" t="str">
        <f t="shared" si="7"/>
        <v>CHT077</v>
      </c>
      <c r="C77" t="s">
        <v>25</v>
      </c>
      <c r="D77" t="s">
        <v>14</v>
      </c>
      <c r="E77" s="1">
        <f t="shared" si="6"/>
        <v>25000</v>
      </c>
      <c r="F77" t="s">
        <v>21</v>
      </c>
      <c r="G77" s="1">
        <f t="shared" si="8"/>
        <v>7000</v>
      </c>
      <c r="H77" t="s">
        <v>28</v>
      </c>
      <c r="I77">
        <v>1</v>
      </c>
      <c r="J77" t="s">
        <v>38</v>
      </c>
      <c r="K77" t="s">
        <v>34</v>
      </c>
      <c r="L77" t="str">
        <f t="shared" si="9"/>
        <v>Dine In</v>
      </c>
      <c r="M77" s="1">
        <f t="shared" si="10"/>
        <v>32000</v>
      </c>
    </row>
    <row r="78" spans="1:13" x14ac:dyDescent="0.35">
      <c r="A78">
        <v>77</v>
      </c>
      <c r="B78" t="str">
        <f t="shared" si="7"/>
        <v>CHT078</v>
      </c>
      <c r="C78" t="s">
        <v>5</v>
      </c>
      <c r="D78" t="s">
        <v>15</v>
      </c>
      <c r="E78" s="1">
        <f t="shared" si="6"/>
        <v>20000</v>
      </c>
      <c r="F78" t="s">
        <v>21</v>
      </c>
      <c r="G78" s="1">
        <f t="shared" si="8"/>
        <v>7000</v>
      </c>
      <c r="H78" t="s">
        <v>28</v>
      </c>
      <c r="I78">
        <v>3</v>
      </c>
      <c r="J78" t="s">
        <v>37</v>
      </c>
      <c r="K78" t="s">
        <v>32</v>
      </c>
      <c r="L78" t="str">
        <f t="shared" si="9"/>
        <v>Take Away</v>
      </c>
      <c r="M78" s="1">
        <f t="shared" si="10"/>
        <v>67000</v>
      </c>
    </row>
    <row r="79" spans="1:13" x14ac:dyDescent="0.35">
      <c r="A79">
        <v>78</v>
      </c>
      <c r="B79" t="str">
        <f t="shared" si="7"/>
        <v>CHT079</v>
      </c>
      <c r="C79" t="s">
        <v>4</v>
      </c>
      <c r="D79" t="s">
        <v>15</v>
      </c>
      <c r="E79" s="1">
        <f t="shared" si="6"/>
        <v>17000</v>
      </c>
      <c r="F79" t="s">
        <v>24</v>
      </c>
      <c r="G79" s="1">
        <f t="shared" si="8"/>
        <v>5000</v>
      </c>
      <c r="H79" t="s">
        <v>29</v>
      </c>
      <c r="I79">
        <v>2</v>
      </c>
      <c r="J79" t="s">
        <v>37</v>
      </c>
      <c r="K79" t="s">
        <v>34</v>
      </c>
      <c r="L79" t="str">
        <f t="shared" si="9"/>
        <v>Take Away</v>
      </c>
      <c r="M79" s="1">
        <f t="shared" si="10"/>
        <v>39000</v>
      </c>
    </row>
    <row r="80" spans="1:13" x14ac:dyDescent="0.35">
      <c r="A80">
        <v>79</v>
      </c>
      <c r="B80" t="str">
        <f t="shared" si="7"/>
        <v>CHT080</v>
      </c>
      <c r="C80" t="s">
        <v>9</v>
      </c>
      <c r="D80" t="s">
        <v>15</v>
      </c>
      <c r="E80" s="1">
        <f t="shared" si="6"/>
        <v>19000</v>
      </c>
      <c r="F80" t="s">
        <v>22</v>
      </c>
      <c r="G80" s="1">
        <f t="shared" si="8"/>
        <v>0</v>
      </c>
      <c r="H80" t="s">
        <v>28</v>
      </c>
      <c r="I80">
        <v>3</v>
      </c>
      <c r="J80" t="s">
        <v>38</v>
      </c>
      <c r="K80" t="s">
        <v>32</v>
      </c>
      <c r="L80" t="str">
        <f t="shared" si="9"/>
        <v>Dine In</v>
      </c>
      <c r="M80" s="1">
        <f t="shared" si="10"/>
        <v>57000</v>
      </c>
    </row>
    <row r="81" spans="1:13" x14ac:dyDescent="0.35">
      <c r="A81">
        <v>80</v>
      </c>
      <c r="B81" t="str">
        <f t="shared" si="7"/>
        <v>CHT081</v>
      </c>
      <c r="C81" t="s">
        <v>9</v>
      </c>
      <c r="D81" t="s">
        <v>14</v>
      </c>
      <c r="E81" s="1">
        <f t="shared" si="6"/>
        <v>24000</v>
      </c>
      <c r="F81" t="s">
        <v>20</v>
      </c>
      <c r="G81" s="1">
        <f t="shared" si="8"/>
        <v>5000</v>
      </c>
      <c r="H81" t="s">
        <v>29</v>
      </c>
      <c r="I81">
        <v>3</v>
      </c>
      <c r="J81" t="s">
        <v>38</v>
      </c>
      <c r="K81" t="s">
        <v>34</v>
      </c>
      <c r="L81" t="str">
        <f t="shared" si="9"/>
        <v>Dine In</v>
      </c>
      <c r="M81" s="1">
        <f t="shared" si="10"/>
        <v>77000</v>
      </c>
    </row>
    <row r="82" spans="1:13" x14ac:dyDescent="0.35">
      <c r="A82">
        <v>81</v>
      </c>
      <c r="B82" t="str">
        <f t="shared" si="7"/>
        <v>CHT082</v>
      </c>
      <c r="C82" t="s">
        <v>7</v>
      </c>
      <c r="D82" t="s">
        <v>13</v>
      </c>
      <c r="E82" s="1">
        <f t="shared" si="6"/>
        <v>29000</v>
      </c>
      <c r="F82" t="s">
        <v>18</v>
      </c>
      <c r="G82" s="1">
        <f t="shared" si="8"/>
        <v>7000</v>
      </c>
      <c r="H82" t="s">
        <v>28</v>
      </c>
      <c r="I82">
        <v>2</v>
      </c>
      <c r="J82" t="s">
        <v>38</v>
      </c>
      <c r="K82" t="s">
        <v>31</v>
      </c>
      <c r="L82" t="str">
        <f t="shared" si="9"/>
        <v>Dine In</v>
      </c>
      <c r="M82" s="1">
        <f t="shared" si="10"/>
        <v>65000</v>
      </c>
    </row>
    <row r="83" spans="1:13" x14ac:dyDescent="0.35">
      <c r="A83">
        <v>82</v>
      </c>
      <c r="B83" t="str">
        <f t="shared" si="7"/>
        <v>CHT083</v>
      </c>
      <c r="C83" t="s">
        <v>10</v>
      </c>
      <c r="D83" t="s">
        <v>15</v>
      </c>
      <c r="E83" s="1">
        <f t="shared" ref="E83:E101" si="11">IF(C83="Cheese Balls",12000,INDEX($Q$2:$S$12,MATCH(C83,$P$2:$P$12,0),MATCH(D83,$Q$1:$S$1,0)))</f>
        <v>20000</v>
      </c>
      <c r="F83" t="s">
        <v>18</v>
      </c>
      <c r="G83" s="1">
        <f t="shared" si="8"/>
        <v>7000</v>
      </c>
      <c r="H83" t="s">
        <v>28</v>
      </c>
      <c r="I83">
        <v>2</v>
      </c>
      <c r="J83" t="s">
        <v>37</v>
      </c>
      <c r="K83" t="s">
        <v>33</v>
      </c>
      <c r="L83" t="str">
        <f t="shared" si="9"/>
        <v>Take Away</v>
      </c>
      <c r="M83" s="1">
        <f t="shared" si="10"/>
        <v>47000</v>
      </c>
    </row>
    <row r="84" spans="1:13" x14ac:dyDescent="0.35">
      <c r="A84">
        <v>83</v>
      </c>
      <c r="B84" t="str">
        <f t="shared" si="7"/>
        <v>CHT084</v>
      </c>
      <c r="C84" t="s">
        <v>8</v>
      </c>
      <c r="D84" t="s">
        <v>14</v>
      </c>
      <c r="E84" s="1">
        <f t="shared" si="11"/>
        <v>22000</v>
      </c>
      <c r="F84" t="s">
        <v>20</v>
      </c>
      <c r="G84" s="1">
        <f t="shared" si="8"/>
        <v>5000</v>
      </c>
      <c r="H84" t="s">
        <v>29</v>
      </c>
      <c r="I84">
        <v>2</v>
      </c>
      <c r="J84" t="s">
        <v>38</v>
      </c>
      <c r="K84" t="s">
        <v>33</v>
      </c>
      <c r="L84" t="str">
        <f t="shared" si="9"/>
        <v>Dine In</v>
      </c>
      <c r="M84" s="1">
        <f t="shared" si="10"/>
        <v>49000</v>
      </c>
    </row>
    <row r="85" spans="1:13" x14ac:dyDescent="0.35">
      <c r="A85">
        <v>84</v>
      </c>
      <c r="B85" t="str">
        <f t="shared" si="7"/>
        <v>CHT085</v>
      </c>
      <c r="C85" t="s">
        <v>11</v>
      </c>
      <c r="D85" t="s">
        <v>13</v>
      </c>
      <c r="E85" s="1">
        <f t="shared" si="11"/>
        <v>28000</v>
      </c>
      <c r="F85" t="s">
        <v>21</v>
      </c>
      <c r="G85" s="1">
        <f t="shared" si="8"/>
        <v>7000</v>
      </c>
      <c r="H85" t="s">
        <v>28</v>
      </c>
      <c r="I85">
        <v>2</v>
      </c>
      <c r="J85" t="s">
        <v>38</v>
      </c>
      <c r="K85" t="s">
        <v>31</v>
      </c>
      <c r="L85" t="str">
        <f t="shared" si="9"/>
        <v>Dine In</v>
      </c>
      <c r="M85" s="1">
        <f t="shared" si="10"/>
        <v>63000</v>
      </c>
    </row>
    <row r="86" spans="1:13" x14ac:dyDescent="0.35">
      <c r="A86">
        <v>85</v>
      </c>
      <c r="B86" t="str">
        <f t="shared" si="7"/>
        <v>CHT086</v>
      </c>
      <c r="C86" t="s">
        <v>8</v>
      </c>
      <c r="D86" t="s">
        <v>14</v>
      </c>
      <c r="E86" s="1">
        <f t="shared" si="11"/>
        <v>22000</v>
      </c>
      <c r="F86" t="s">
        <v>24</v>
      </c>
      <c r="G86" s="1">
        <f t="shared" si="8"/>
        <v>5000</v>
      </c>
      <c r="H86" t="s">
        <v>28</v>
      </c>
      <c r="I86">
        <v>7</v>
      </c>
      <c r="J86" t="s">
        <v>38</v>
      </c>
      <c r="K86" t="s">
        <v>33</v>
      </c>
      <c r="L86" t="str">
        <f t="shared" si="9"/>
        <v>Dine In</v>
      </c>
      <c r="M86" s="1">
        <f t="shared" si="10"/>
        <v>159000</v>
      </c>
    </row>
    <row r="87" spans="1:13" x14ac:dyDescent="0.35">
      <c r="A87">
        <v>86</v>
      </c>
      <c r="B87" t="str">
        <f t="shared" si="7"/>
        <v>CHT087</v>
      </c>
      <c r="C87" t="s">
        <v>5</v>
      </c>
      <c r="D87" t="s">
        <v>14</v>
      </c>
      <c r="E87" s="1">
        <f t="shared" si="11"/>
        <v>24000</v>
      </c>
      <c r="F87" t="s">
        <v>22</v>
      </c>
      <c r="G87" s="1">
        <f t="shared" si="8"/>
        <v>0</v>
      </c>
      <c r="H87" t="s">
        <v>29</v>
      </c>
      <c r="I87">
        <v>3</v>
      </c>
      <c r="J87" t="s">
        <v>37</v>
      </c>
      <c r="K87" t="s">
        <v>33</v>
      </c>
      <c r="L87" t="str">
        <f t="shared" si="9"/>
        <v>Take Away</v>
      </c>
      <c r="M87" s="1">
        <f t="shared" si="10"/>
        <v>72000</v>
      </c>
    </row>
    <row r="88" spans="1:13" x14ac:dyDescent="0.35">
      <c r="A88">
        <v>87</v>
      </c>
      <c r="B88" t="str">
        <f t="shared" si="7"/>
        <v>CHT088</v>
      </c>
      <c r="C88" t="s">
        <v>9</v>
      </c>
      <c r="D88" t="s">
        <v>13</v>
      </c>
      <c r="E88" s="1">
        <f t="shared" si="11"/>
        <v>27000</v>
      </c>
      <c r="F88" t="s">
        <v>20</v>
      </c>
      <c r="G88" s="1">
        <f t="shared" si="8"/>
        <v>5000</v>
      </c>
      <c r="H88" t="s">
        <v>29</v>
      </c>
      <c r="I88">
        <v>2</v>
      </c>
      <c r="J88" t="s">
        <v>37</v>
      </c>
      <c r="K88" t="s">
        <v>31</v>
      </c>
      <c r="L88" t="str">
        <f t="shared" si="9"/>
        <v>Take Away</v>
      </c>
      <c r="M88" s="1">
        <f t="shared" si="10"/>
        <v>59000</v>
      </c>
    </row>
    <row r="89" spans="1:13" x14ac:dyDescent="0.35">
      <c r="A89">
        <v>88</v>
      </c>
      <c r="B89" t="str">
        <f t="shared" si="7"/>
        <v>CHT089</v>
      </c>
      <c r="C89" t="s">
        <v>10</v>
      </c>
      <c r="D89" t="s">
        <v>13</v>
      </c>
      <c r="E89" s="1">
        <f t="shared" si="11"/>
        <v>28000</v>
      </c>
      <c r="F89" t="s">
        <v>18</v>
      </c>
      <c r="G89" s="1">
        <f t="shared" si="8"/>
        <v>7000</v>
      </c>
      <c r="H89" t="s">
        <v>28</v>
      </c>
      <c r="I89">
        <v>1</v>
      </c>
      <c r="J89" t="s">
        <v>38</v>
      </c>
      <c r="K89" t="s">
        <v>33</v>
      </c>
      <c r="L89" t="str">
        <f t="shared" si="9"/>
        <v>Dine In</v>
      </c>
      <c r="M89" s="1">
        <f t="shared" si="10"/>
        <v>35000</v>
      </c>
    </row>
    <row r="90" spans="1:13" x14ac:dyDescent="0.35">
      <c r="A90">
        <v>89</v>
      </c>
      <c r="B90" t="str">
        <f t="shared" si="7"/>
        <v>CHT090</v>
      </c>
      <c r="C90" t="s">
        <v>6</v>
      </c>
      <c r="D90" t="s">
        <v>15</v>
      </c>
      <c r="E90" s="1">
        <f t="shared" si="11"/>
        <v>17000</v>
      </c>
      <c r="F90" t="s">
        <v>20</v>
      </c>
      <c r="G90" s="1">
        <f t="shared" si="8"/>
        <v>5000</v>
      </c>
      <c r="H90" t="s">
        <v>29</v>
      </c>
      <c r="I90">
        <v>1</v>
      </c>
      <c r="J90" t="s">
        <v>38</v>
      </c>
      <c r="K90" t="s">
        <v>32</v>
      </c>
      <c r="L90" t="str">
        <f t="shared" si="9"/>
        <v>Dine In</v>
      </c>
      <c r="M90" s="1">
        <f t="shared" si="10"/>
        <v>22000</v>
      </c>
    </row>
    <row r="91" spans="1:13" x14ac:dyDescent="0.35">
      <c r="A91">
        <v>90</v>
      </c>
      <c r="B91" t="str">
        <f t="shared" si="7"/>
        <v>CHT091</v>
      </c>
      <c r="C91" t="s">
        <v>9</v>
      </c>
      <c r="D91" t="s">
        <v>13</v>
      </c>
      <c r="E91" s="1">
        <f t="shared" si="11"/>
        <v>27000</v>
      </c>
      <c r="F91" t="s">
        <v>19</v>
      </c>
      <c r="G91" s="1">
        <f t="shared" si="8"/>
        <v>7000</v>
      </c>
      <c r="H91" t="s">
        <v>29</v>
      </c>
      <c r="I91">
        <v>1</v>
      </c>
      <c r="J91" t="s">
        <v>38</v>
      </c>
      <c r="K91" t="s">
        <v>32</v>
      </c>
      <c r="L91" t="str">
        <f t="shared" si="9"/>
        <v>Dine In</v>
      </c>
      <c r="M91" s="1">
        <f t="shared" si="10"/>
        <v>34000</v>
      </c>
    </row>
    <row r="92" spans="1:13" x14ac:dyDescent="0.35">
      <c r="A92">
        <v>91</v>
      </c>
      <c r="B92" t="str">
        <f t="shared" si="7"/>
        <v>CHT092</v>
      </c>
      <c r="C92" t="s">
        <v>3</v>
      </c>
      <c r="D92" t="s">
        <v>14</v>
      </c>
      <c r="E92" s="1">
        <f t="shared" si="11"/>
        <v>27000</v>
      </c>
      <c r="F92" t="s">
        <v>24</v>
      </c>
      <c r="G92" s="1">
        <f t="shared" si="8"/>
        <v>5000</v>
      </c>
      <c r="H92" t="s">
        <v>29</v>
      </c>
      <c r="I92">
        <v>3</v>
      </c>
      <c r="J92" t="s">
        <v>37</v>
      </c>
      <c r="K92" t="s">
        <v>32</v>
      </c>
      <c r="L92" t="str">
        <f t="shared" si="9"/>
        <v>Take Away</v>
      </c>
      <c r="M92" s="1">
        <f t="shared" si="10"/>
        <v>86000</v>
      </c>
    </row>
    <row r="93" spans="1:13" x14ac:dyDescent="0.35">
      <c r="A93">
        <v>92</v>
      </c>
      <c r="B93" t="str">
        <f t="shared" si="7"/>
        <v>CHT093</v>
      </c>
      <c r="C93" t="s">
        <v>40</v>
      </c>
      <c r="D93" t="s">
        <v>22</v>
      </c>
      <c r="E93" s="1">
        <f t="shared" si="11"/>
        <v>12000</v>
      </c>
      <c r="F93" t="s">
        <v>22</v>
      </c>
      <c r="G93" s="1">
        <f t="shared" si="8"/>
        <v>0</v>
      </c>
      <c r="H93" t="s">
        <v>22</v>
      </c>
      <c r="I93">
        <v>2</v>
      </c>
      <c r="J93" t="s">
        <v>38</v>
      </c>
      <c r="K93" t="s">
        <v>32</v>
      </c>
      <c r="L93" t="str">
        <f t="shared" si="9"/>
        <v>Dine In</v>
      </c>
      <c r="M93" s="1">
        <f t="shared" si="10"/>
        <v>24000</v>
      </c>
    </row>
    <row r="94" spans="1:13" x14ac:dyDescent="0.35">
      <c r="A94">
        <v>93</v>
      </c>
      <c r="B94" t="str">
        <f t="shared" si="7"/>
        <v>CHT094</v>
      </c>
      <c r="C94" t="s">
        <v>7</v>
      </c>
      <c r="D94" t="s">
        <v>15</v>
      </c>
      <c r="E94" s="1">
        <f t="shared" si="11"/>
        <v>22000</v>
      </c>
      <c r="F94" t="s">
        <v>20</v>
      </c>
      <c r="G94" s="1">
        <f t="shared" si="8"/>
        <v>5000</v>
      </c>
      <c r="H94" t="s">
        <v>29</v>
      </c>
      <c r="I94">
        <v>12</v>
      </c>
      <c r="J94" t="s">
        <v>38</v>
      </c>
      <c r="K94" t="s">
        <v>34</v>
      </c>
      <c r="L94" t="str">
        <f t="shared" si="9"/>
        <v>Dine In</v>
      </c>
      <c r="M94" s="1">
        <f t="shared" si="10"/>
        <v>269000</v>
      </c>
    </row>
    <row r="95" spans="1:13" x14ac:dyDescent="0.35">
      <c r="A95">
        <v>94</v>
      </c>
      <c r="B95" t="str">
        <f t="shared" si="7"/>
        <v>CHT095</v>
      </c>
      <c r="C95" t="s">
        <v>4</v>
      </c>
      <c r="D95" t="s">
        <v>14</v>
      </c>
      <c r="E95" s="1">
        <f t="shared" si="11"/>
        <v>22000</v>
      </c>
      <c r="F95" t="s">
        <v>24</v>
      </c>
      <c r="G95" s="1">
        <f t="shared" si="8"/>
        <v>5000</v>
      </c>
      <c r="H95" t="s">
        <v>29</v>
      </c>
      <c r="I95">
        <v>2</v>
      </c>
      <c r="J95" t="s">
        <v>38</v>
      </c>
      <c r="K95" t="s">
        <v>33</v>
      </c>
      <c r="L95" t="str">
        <f t="shared" si="9"/>
        <v>Dine In</v>
      </c>
      <c r="M95" s="1">
        <f t="shared" si="10"/>
        <v>49000</v>
      </c>
    </row>
    <row r="96" spans="1:13" x14ac:dyDescent="0.35">
      <c r="A96">
        <v>95</v>
      </c>
      <c r="B96" t="str">
        <f t="shared" si="7"/>
        <v>CHT096</v>
      </c>
      <c r="C96" t="s">
        <v>6</v>
      </c>
      <c r="D96" t="s">
        <v>13</v>
      </c>
      <c r="E96" s="1">
        <f t="shared" si="11"/>
        <v>25000</v>
      </c>
      <c r="F96" t="s">
        <v>21</v>
      </c>
      <c r="G96" s="1">
        <f t="shared" si="8"/>
        <v>7000</v>
      </c>
      <c r="H96" t="s">
        <v>28</v>
      </c>
      <c r="I96">
        <v>3</v>
      </c>
      <c r="J96" t="s">
        <v>37</v>
      </c>
      <c r="K96" t="s">
        <v>31</v>
      </c>
      <c r="L96" t="str">
        <f t="shared" si="9"/>
        <v>Take Away</v>
      </c>
      <c r="M96" s="1">
        <f t="shared" si="10"/>
        <v>82000</v>
      </c>
    </row>
    <row r="97" spans="1:13" x14ac:dyDescent="0.35">
      <c r="A97">
        <v>96</v>
      </c>
      <c r="B97" t="str">
        <f t="shared" si="7"/>
        <v>CHT097</v>
      </c>
      <c r="C97" t="s">
        <v>12</v>
      </c>
      <c r="D97" t="s">
        <v>13</v>
      </c>
      <c r="E97" s="1">
        <f t="shared" si="11"/>
        <v>25000</v>
      </c>
      <c r="F97" t="s">
        <v>22</v>
      </c>
      <c r="G97" s="1">
        <f t="shared" si="8"/>
        <v>0</v>
      </c>
      <c r="H97" t="s">
        <v>28</v>
      </c>
      <c r="I97">
        <v>4</v>
      </c>
      <c r="J97" t="s">
        <v>38</v>
      </c>
      <c r="K97" t="s">
        <v>34</v>
      </c>
      <c r="L97" t="str">
        <f t="shared" si="9"/>
        <v>Dine In</v>
      </c>
      <c r="M97" s="1">
        <f t="shared" si="10"/>
        <v>100000</v>
      </c>
    </row>
    <row r="98" spans="1:13" x14ac:dyDescent="0.35">
      <c r="A98">
        <v>97</v>
      </c>
      <c r="B98" t="str">
        <f t="shared" si="7"/>
        <v>CHT098</v>
      </c>
      <c r="C98" t="s">
        <v>10</v>
      </c>
      <c r="D98" t="s">
        <v>13</v>
      </c>
      <c r="E98" s="1">
        <f t="shared" si="11"/>
        <v>28000</v>
      </c>
      <c r="F98" t="s">
        <v>21</v>
      </c>
      <c r="G98" s="1">
        <f t="shared" si="8"/>
        <v>7000</v>
      </c>
      <c r="H98" t="s">
        <v>28</v>
      </c>
      <c r="I98">
        <v>1</v>
      </c>
      <c r="J98" t="s">
        <v>38</v>
      </c>
      <c r="K98" t="s">
        <v>32</v>
      </c>
      <c r="L98" t="str">
        <f t="shared" si="9"/>
        <v>Dine In</v>
      </c>
      <c r="M98" s="1">
        <f t="shared" si="10"/>
        <v>35000</v>
      </c>
    </row>
    <row r="99" spans="1:13" x14ac:dyDescent="0.35">
      <c r="A99">
        <v>98</v>
      </c>
      <c r="B99" t="str">
        <f t="shared" si="7"/>
        <v>CHT099</v>
      </c>
      <c r="C99" t="s">
        <v>12</v>
      </c>
      <c r="D99" t="s">
        <v>14</v>
      </c>
      <c r="E99" s="1">
        <f t="shared" si="11"/>
        <v>22000</v>
      </c>
      <c r="F99" t="s">
        <v>18</v>
      </c>
      <c r="G99" s="1">
        <f t="shared" si="8"/>
        <v>7000</v>
      </c>
      <c r="H99" t="s">
        <v>28</v>
      </c>
      <c r="I99">
        <v>1</v>
      </c>
      <c r="J99" t="s">
        <v>38</v>
      </c>
      <c r="K99" t="s">
        <v>31</v>
      </c>
      <c r="L99" t="str">
        <f t="shared" si="9"/>
        <v>Dine In</v>
      </c>
      <c r="M99" s="1">
        <f t="shared" si="10"/>
        <v>29000</v>
      </c>
    </row>
    <row r="100" spans="1:13" x14ac:dyDescent="0.35">
      <c r="A100">
        <v>99</v>
      </c>
      <c r="B100" t="str">
        <f t="shared" si="7"/>
        <v>CHT100</v>
      </c>
      <c r="C100" t="s">
        <v>9</v>
      </c>
      <c r="D100" t="s">
        <v>13</v>
      </c>
      <c r="E100" s="1">
        <f t="shared" si="11"/>
        <v>27000</v>
      </c>
      <c r="F100" t="s">
        <v>24</v>
      </c>
      <c r="G100" s="1">
        <f t="shared" si="8"/>
        <v>5000</v>
      </c>
      <c r="H100" t="s">
        <v>29</v>
      </c>
      <c r="I100">
        <v>2</v>
      </c>
      <c r="J100" t="s">
        <v>37</v>
      </c>
      <c r="K100" t="s">
        <v>34</v>
      </c>
      <c r="L100" t="str">
        <f t="shared" si="9"/>
        <v>Take Away</v>
      </c>
      <c r="M100" s="1">
        <f t="shared" si="10"/>
        <v>59000</v>
      </c>
    </row>
    <row r="101" spans="1:13" x14ac:dyDescent="0.35">
      <c r="A101">
        <v>100</v>
      </c>
      <c r="B101" t="str">
        <f t="shared" si="7"/>
        <v>CHT101</v>
      </c>
      <c r="C101" t="s">
        <v>9</v>
      </c>
      <c r="D101" t="s">
        <v>13</v>
      </c>
      <c r="E101" s="1">
        <f t="shared" si="11"/>
        <v>27000</v>
      </c>
      <c r="F101" t="s">
        <v>24</v>
      </c>
      <c r="G101" s="1">
        <f t="shared" si="8"/>
        <v>5000</v>
      </c>
      <c r="H101" t="s">
        <v>28</v>
      </c>
      <c r="I101">
        <v>2</v>
      </c>
      <c r="J101" t="s">
        <v>38</v>
      </c>
      <c r="K101" t="s">
        <v>33</v>
      </c>
      <c r="L101" t="str">
        <f t="shared" si="9"/>
        <v>Dine In</v>
      </c>
      <c r="M101" s="1">
        <f t="shared" si="10"/>
        <v>59000</v>
      </c>
    </row>
  </sheetData>
  <autoFilter ref="A1:M101" xr:uid="{950AAF44-0C7D-4A72-ABD3-5CBF438528AF}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7122-21FB-4D4F-954B-E77ACE137CCB}">
  <dimension ref="A1:T101"/>
  <sheetViews>
    <sheetView tabSelected="1" topLeftCell="D1" workbookViewId="0">
      <selection activeCell="Q34" sqref="Q34"/>
    </sheetView>
  </sheetViews>
  <sheetFormatPr defaultRowHeight="14.5" x14ac:dyDescent="0.35"/>
  <cols>
    <col min="1" max="1" width="3.81640625" bestFit="1" customWidth="1"/>
    <col min="2" max="2" width="9.7265625" customWidth="1"/>
    <col min="3" max="3" width="28.08984375" bestFit="1" customWidth="1"/>
    <col min="4" max="4" width="7.7265625" bestFit="1" customWidth="1"/>
    <col min="5" max="5" width="8.81640625" customWidth="1"/>
    <col min="6" max="6" width="13.08984375" bestFit="1" customWidth="1"/>
    <col min="7" max="7" width="11.6328125" bestFit="1" customWidth="1"/>
    <col min="8" max="8" width="8.08984375" bestFit="1" customWidth="1"/>
    <col min="9" max="9" width="7.7265625" bestFit="1" customWidth="1"/>
    <col min="10" max="10" width="11.54296875" bestFit="1" customWidth="1"/>
    <col min="11" max="11" width="13" bestFit="1" customWidth="1"/>
    <col min="12" max="12" width="9.54296875" bestFit="1" customWidth="1"/>
    <col min="13" max="13" width="9.36328125" bestFit="1" customWidth="1"/>
    <col min="16" max="16" width="26.08984375" customWidth="1"/>
    <col min="17" max="17" width="14.90625" bestFit="1" customWidth="1"/>
    <col min="18" max="18" width="10.36328125" customWidth="1"/>
    <col min="19" max="19" width="17.1796875" customWidth="1"/>
  </cols>
  <sheetData>
    <row r="1" spans="1:20" x14ac:dyDescent="0.35">
      <c r="A1" t="s">
        <v>0</v>
      </c>
      <c r="B1" t="s">
        <v>16</v>
      </c>
      <c r="C1" t="s">
        <v>1</v>
      </c>
      <c r="D1" t="s">
        <v>2</v>
      </c>
      <c r="E1" t="s">
        <v>41</v>
      </c>
      <c r="F1" t="s">
        <v>17</v>
      </c>
      <c r="G1" t="s">
        <v>43</v>
      </c>
      <c r="H1" t="s">
        <v>27</v>
      </c>
      <c r="I1" t="s">
        <v>35</v>
      </c>
      <c r="J1" t="s">
        <v>36</v>
      </c>
      <c r="K1" t="s">
        <v>39</v>
      </c>
      <c r="L1" t="s">
        <v>30</v>
      </c>
      <c r="M1" t="s">
        <v>44</v>
      </c>
      <c r="P1" t="s">
        <v>46</v>
      </c>
    </row>
    <row r="2" spans="1:20" x14ac:dyDescent="0.35">
      <c r="A2">
        <v>1</v>
      </c>
      <c r="B2" t="s">
        <v>47</v>
      </c>
      <c r="C2" t="s">
        <v>6</v>
      </c>
      <c r="D2" t="s">
        <v>14</v>
      </c>
      <c r="E2">
        <v>22000</v>
      </c>
      <c r="F2" t="s">
        <v>24</v>
      </c>
      <c r="G2">
        <v>5000</v>
      </c>
      <c r="H2" t="s">
        <v>28</v>
      </c>
      <c r="I2">
        <v>1</v>
      </c>
      <c r="J2" t="s">
        <v>37</v>
      </c>
      <c r="K2" t="s">
        <v>31</v>
      </c>
      <c r="L2" t="s">
        <v>48</v>
      </c>
      <c r="M2">
        <v>27000</v>
      </c>
      <c r="P2" s="10">
        <f>SUM(M:M)</f>
        <v>5707000</v>
      </c>
    </row>
    <row r="3" spans="1:20" x14ac:dyDescent="0.35">
      <c r="A3">
        <v>2</v>
      </c>
      <c r="B3" t="s">
        <v>49</v>
      </c>
      <c r="C3" t="s">
        <v>10</v>
      </c>
      <c r="D3" t="s">
        <v>14</v>
      </c>
      <c r="E3">
        <v>25000</v>
      </c>
      <c r="F3" t="s">
        <v>23</v>
      </c>
      <c r="G3">
        <v>7000</v>
      </c>
      <c r="H3" t="s">
        <v>29</v>
      </c>
      <c r="I3">
        <v>3</v>
      </c>
      <c r="J3" t="s">
        <v>38</v>
      </c>
      <c r="K3" t="s">
        <v>33</v>
      </c>
      <c r="L3" t="s">
        <v>50</v>
      </c>
      <c r="M3">
        <v>82000</v>
      </c>
      <c r="Q3" s="2"/>
      <c r="R3" t="s">
        <v>151</v>
      </c>
    </row>
    <row r="4" spans="1:20" x14ac:dyDescent="0.35">
      <c r="A4">
        <v>3</v>
      </c>
      <c r="B4" t="s">
        <v>51</v>
      </c>
      <c r="C4" t="s">
        <v>3</v>
      </c>
      <c r="D4" t="s">
        <v>14</v>
      </c>
      <c r="E4">
        <v>27000</v>
      </c>
      <c r="F4" t="s">
        <v>23</v>
      </c>
      <c r="G4">
        <v>7000</v>
      </c>
      <c r="H4" t="s">
        <v>29</v>
      </c>
      <c r="I4">
        <v>1</v>
      </c>
      <c r="J4" t="s">
        <v>37</v>
      </c>
      <c r="K4" t="s">
        <v>32</v>
      </c>
      <c r="L4" t="s">
        <v>48</v>
      </c>
      <c r="M4">
        <v>34000</v>
      </c>
      <c r="P4" t="s">
        <v>166</v>
      </c>
      <c r="R4" s="17" t="s">
        <v>15</v>
      </c>
      <c r="S4" s="18"/>
      <c r="T4" s="4">
        <f>COUNTIF(D:D,R4)</f>
        <v>30</v>
      </c>
    </row>
    <row r="5" spans="1:20" x14ac:dyDescent="0.35">
      <c r="A5">
        <v>4</v>
      </c>
      <c r="B5" t="s">
        <v>52</v>
      </c>
      <c r="C5" t="s">
        <v>6</v>
      </c>
      <c r="D5" t="s">
        <v>14</v>
      </c>
      <c r="E5">
        <v>22000</v>
      </c>
      <c r="F5" t="s">
        <v>21</v>
      </c>
      <c r="G5">
        <v>7000</v>
      </c>
      <c r="H5" t="s">
        <v>28</v>
      </c>
      <c r="I5">
        <v>3</v>
      </c>
      <c r="J5" t="s">
        <v>37</v>
      </c>
      <c r="K5" t="s">
        <v>34</v>
      </c>
      <c r="L5" t="s">
        <v>48</v>
      </c>
      <c r="M5">
        <v>73000</v>
      </c>
      <c r="P5" s="3">
        <f>COUNTA(C2:C101)</f>
        <v>100</v>
      </c>
      <c r="R5" s="15" t="s">
        <v>14</v>
      </c>
      <c r="S5" s="16"/>
      <c r="T5" s="5">
        <f>COUNTIF(D:D,R5)</f>
        <v>38</v>
      </c>
    </row>
    <row r="6" spans="1:20" x14ac:dyDescent="0.35">
      <c r="A6">
        <v>5</v>
      </c>
      <c r="B6" t="s">
        <v>53</v>
      </c>
      <c r="C6" t="s">
        <v>8</v>
      </c>
      <c r="D6" t="s">
        <v>14</v>
      </c>
      <c r="E6">
        <v>22000</v>
      </c>
      <c r="F6" t="s">
        <v>19</v>
      </c>
      <c r="G6">
        <v>7000</v>
      </c>
      <c r="H6" t="s">
        <v>29</v>
      </c>
      <c r="I6">
        <v>2</v>
      </c>
      <c r="J6" t="s">
        <v>38</v>
      </c>
      <c r="K6" t="s">
        <v>31</v>
      </c>
      <c r="L6" t="s">
        <v>50</v>
      </c>
      <c r="M6">
        <v>51000</v>
      </c>
      <c r="R6" s="13" t="s">
        <v>13</v>
      </c>
      <c r="S6" s="14"/>
      <c r="T6" s="6">
        <f>COUNTIF(D:D,R6)</f>
        <v>28</v>
      </c>
    </row>
    <row r="7" spans="1:20" x14ac:dyDescent="0.35">
      <c r="A7">
        <v>6</v>
      </c>
      <c r="B7" t="s">
        <v>54</v>
      </c>
      <c r="C7" t="s">
        <v>11</v>
      </c>
      <c r="D7" t="s">
        <v>14</v>
      </c>
      <c r="E7">
        <v>25000</v>
      </c>
      <c r="F7" t="s">
        <v>19</v>
      </c>
      <c r="G7">
        <v>7000</v>
      </c>
      <c r="H7" t="s">
        <v>28</v>
      </c>
      <c r="I7">
        <v>1</v>
      </c>
      <c r="J7" t="s">
        <v>38</v>
      </c>
      <c r="K7" t="s">
        <v>34</v>
      </c>
      <c r="L7" s="2" t="s">
        <v>50</v>
      </c>
      <c r="M7">
        <v>32000</v>
      </c>
      <c r="P7" t="s">
        <v>167</v>
      </c>
    </row>
    <row r="8" spans="1:20" x14ac:dyDescent="0.35">
      <c r="A8">
        <v>7</v>
      </c>
      <c r="B8" t="s">
        <v>55</v>
      </c>
      <c r="C8" t="s">
        <v>40</v>
      </c>
      <c r="D8" t="s">
        <v>22</v>
      </c>
      <c r="E8">
        <v>12000</v>
      </c>
      <c r="F8" t="s">
        <v>22</v>
      </c>
      <c r="G8">
        <v>0</v>
      </c>
      <c r="H8" t="s">
        <v>22</v>
      </c>
      <c r="I8">
        <v>3</v>
      </c>
      <c r="J8" t="s">
        <v>38</v>
      </c>
      <c r="K8" t="s">
        <v>33</v>
      </c>
      <c r="L8" t="s">
        <v>50</v>
      </c>
      <c r="M8">
        <v>36000</v>
      </c>
      <c r="P8" s="3">
        <f>SUM(I2:I101)</f>
        <v>222</v>
      </c>
      <c r="R8" t="s">
        <v>152</v>
      </c>
    </row>
    <row r="9" spans="1:20" x14ac:dyDescent="0.35">
      <c r="A9">
        <v>8</v>
      </c>
      <c r="B9" t="s">
        <v>56</v>
      </c>
      <c r="C9" t="s">
        <v>9</v>
      </c>
      <c r="D9" t="s">
        <v>14</v>
      </c>
      <c r="E9">
        <v>24000</v>
      </c>
      <c r="F9" t="s">
        <v>19</v>
      </c>
      <c r="G9">
        <v>7000</v>
      </c>
      <c r="H9" t="s">
        <v>29</v>
      </c>
      <c r="I9">
        <v>1</v>
      </c>
      <c r="J9" t="s">
        <v>37</v>
      </c>
      <c r="K9" t="s">
        <v>32</v>
      </c>
      <c r="L9" t="s">
        <v>48</v>
      </c>
      <c r="M9">
        <v>31000</v>
      </c>
      <c r="R9" s="17" t="s">
        <v>25</v>
      </c>
      <c r="S9" s="18"/>
      <c r="T9" s="7">
        <f>COUNTIF(C:C,R9)</f>
        <v>3</v>
      </c>
    </row>
    <row r="10" spans="1:20" x14ac:dyDescent="0.35">
      <c r="A10">
        <v>9</v>
      </c>
      <c r="B10" t="s">
        <v>57</v>
      </c>
      <c r="C10" t="s">
        <v>5</v>
      </c>
      <c r="D10" t="s">
        <v>13</v>
      </c>
      <c r="E10">
        <v>27000</v>
      </c>
      <c r="F10" t="s">
        <v>24</v>
      </c>
      <c r="G10">
        <v>5000</v>
      </c>
      <c r="H10" t="s">
        <v>28</v>
      </c>
      <c r="I10">
        <v>2</v>
      </c>
      <c r="J10" t="s">
        <v>38</v>
      </c>
      <c r="K10" t="s">
        <v>31</v>
      </c>
      <c r="L10" t="s">
        <v>50</v>
      </c>
      <c r="M10">
        <v>59000</v>
      </c>
      <c r="P10" t="s">
        <v>149</v>
      </c>
      <c r="R10" s="15" t="s">
        <v>40</v>
      </c>
      <c r="S10" s="16"/>
      <c r="T10" s="8">
        <f>COUNTIF(C:C,R10)</f>
        <v>3</v>
      </c>
    </row>
    <row r="11" spans="1:20" x14ac:dyDescent="0.35">
      <c r="A11">
        <v>10</v>
      </c>
      <c r="B11" t="s">
        <v>58</v>
      </c>
      <c r="C11" t="s">
        <v>12</v>
      </c>
      <c r="D11" t="s">
        <v>15</v>
      </c>
      <c r="E11">
        <v>17000</v>
      </c>
      <c r="F11" t="s">
        <v>23</v>
      </c>
      <c r="G11">
        <v>7000</v>
      </c>
      <c r="H11" t="s">
        <v>28</v>
      </c>
      <c r="I11">
        <v>3</v>
      </c>
      <c r="J11" t="s">
        <v>38</v>
      </c>
      <c r="K11" t="s">
        <v>34</v>
      </c>
      <c r="L11" t="s">
        <v>50</v>
      </c>
      <c r="M11">
        <v>58000</v>
      </c>
      <c r="P11" s="3">
        <f>COUNTIF(G:G,"&gt;0")</f>
        <v>87</v>
      </c>
      <c r="R11" s="13" t="s">
        <v>26</v>
      </c>
      <c r="S11" s="14"/>
      <c r="T11" s="9">
        <f>COUNTIF(C:C,R11)</f>
        <v>1</v>
      </c>
    </row>
    <row r="12" spans="1:20" x14ac:dyDescent="0.35">
      <c r="A12">
        <v>11</v>
      </c>
      <c r="B12" t="s">
        <v>59</v>
      </c>
      <c r="C12" t="s">
        <v>8</v>
      </c>
      <c r="D12" t="s">
        <v>14</v>
      </c>
      <c r="E12">
        <v>22000</v>
      </c>
      <c r="F12" t="s">
        <v>23</v>
      </c>
      <c r="G12">
        <v>7000</v>
      </c>
      <c r="H12" t="s">
        <v>28</v>
      </c>
      <c r="I12">
        <v>2</v>
      </c>
      <c r="J12" t="s">
        <v>37</v>
      </c>
      <c r="K12" t="s">
        <v>33</v>
      </c>
      <c r="L12" t="s">
        <v>48</v>
      </c>
      <c r="M12">
        <v>51000</v>
      </c>
    </row>
    <row r="13" spans="1:20" x14ac:dyDescent="0.35">
      <c r="A13">
        <v>12</v>
      </c>
      <c r="B13" t="s">
        <v>60</v>
      </c>
      <c r="C13" t="s">
        <v>11</v>
      </c>
      <c r="D13" t="s">
        <v>14</v>
      </c>
      <c r="E13">
        <v>25000</v>
      </c>
      <c r="F13" t="s">
        <v>23</v>
      </c>
      <c r="G13">
        <v>7000</v>
      </c>
      <c r="H13" t="s">
        <v>29</v>
      </c>
      <c r="I13">
        <v>1</v>
      </c>
      <c r="J13" t="s">
        <v>37</v>
      </c>
      <c r="K13" t="s">
        <v>33</v>
      </c>
      <c r="L13" t="s">
        <v>48</v>
      </c>
      <c r="M13">
        <v>32000</v>
      </c>
      <c r="P13" t="s">
        <v>150</v>
      </c>
    </row>
    <row r="14" spans="1:20" x14ac:dyDescent="0.35">
      <c r="A14">
        <v>13</v>
      </c>
      <c r="B14" t="s">
        <v>61</v>
      </c>
      <c r="C14" t="s">
        <v>5</v>
      </c>
      <c r="D14" t="s">
        <v>15</v>
      </c>
      <c r="E14">
        <v>20000</v>
      </c>
      <c r="F14" t="s">
        <v>20</v>
      </c>
      <c r="G14">
        <v>5000</v>
      </c>
      <c r="H14" t="s">
        <v>29</v>
      </c>
      <c r="I14">
        <v>2</v>
      </c>
      <c r="J14" t="s">
        <v>37</v>
      </c>
      <c r="K14" t="s">
        <v>32</v>
      </c>
      <c r="L14" t="s">
        <v>48</v>
      </c>
      <c r="M14">
        <v>45000</v>
      </c>
      <c r="P14" s="3">
        <f>COUNTIF(J:J,"Yes")</f>
        <v>40</v>
      </c>
    </row>
    <row r="15" spans="1:20" x14ac:dyDescent="0.35">
      <c r="A15">
        <v>14</v>
      </c>
      <c r="B15" t="s">
        <v>62</v>
      </c>
      <c r="C15" t="s">
        <v>4</v>
      </c>
      <c r="D15" t="s">
        <v>13</v>
      </c>
      <c r="E15">
        <v>25000</v>
      </c>
      <c r="F15" t="s">
        <v>23</v>
      </c>
      <c r="G15">
        <v>7000</v>
      </c>
      <c r="H15" t="s">
        <v>28</v>
      </c>
      <c r="I15">
        <v>2</v>
      </c>
      <c r="J15" t="s">
        <v>37</v>
      </c>
      <c r="K15" t="s">
        <v>33</v>
      </c>
      <c r="L15" t="s">
        <v>48</v>
      </c>
      <c r="M15">
        <v>57000</v>
      </c>
      <c r="S15" t="s">
        <v>153</v>
      </c>
    </row>
    <row r="16" spans="1:20" x14ac:dyDescent="0.35">
      <c r="A16">
        <v>15</v>
      </c>
      <c r="B16" t="s">
        <v>63</v>
      </c>
      <c r="C16" t="s">
        <v>10</v>
      </c>
      <c r="D16" t="s">
        <v>15</v>
      </c>
      <c r="E16">
        <v>20000</v>
      </c>
      <c r="F16" t="s">
        <v>24</v>
      </c>
      <c r="G16">
        <v>5000</v>
      </c>
      <c r="H16" t="s">
        <v>29</v>
      </c>
      <c r="I16">
        <v>3</v>
      </c>
      <c r="J16" t="s">
        <v>37</v>
      </c>
      <c r="K16" t="s">
        <v>32</v>
      </c>
      <c r="L16" t="s">
        <v>48</v>
      </c>
      <c r="M16">
        <v>65000</v>
      </c>
      <c r="P16" s="7" t="s">
        <v>157</v>
      </c>
      <c r="Q16" s="11">
        <v>6500000</v>
      </c>
      <c r="S16" s="7" t="s">
        <v>46</v>
      </c>
      <c r="T16" s="12" t="str">
        <f>TEXT(P2/Q16,"0,00%")</f>
        <v>87,80%</v>
      </c>
    </row>
    <row r="17" spans="1:20" x14ac:dyDescent="0.35">
      <c r="A17">
        <v>16</v>
      </c>
      <c r="B17" t="s">
        <v>64</v>
      </c>
      <c r="C17" t="s">
        <v>11</v>
      </c>
      <c r="D17" t="s">
        <v>13</v>
      </c>
      <c r="E17">
        <v>28000</v>
      </c>
      <c r="F17" t="s">
        <v>20</v>
      </c>
      <c r="G17">
        <v>5000</v>
      </c>
      <c r="H17" t="s">
        <v>28</v>
      </c>
      <c r="I17">
        <v>3</v>
      </c>
      <c r="J17" t="s">
        <v>38</v>
      </c>
      <c r="K17" t="s">
        <v>33</v>
      </c>
      <c r="L17" t="s">
        <v>50</v>
      </c>
      <c r="M17">
        <v>89000</v>
      </c>
      <c r="P17" s="8" t="s">
        <v>158</v>
      </c>
      <c r="Q17" s="8">
        <v>100</v>
      </c>
      <c r="S17" s="8" t="s">
        <v>17</v>
      </c>
      <c r="T17" s="8" t="str">
        <f>TEXT(P11/Q17,"0,00%")</f>
        <v>87,00%</v>
      </c>
    </row>
    <row r="18" spans="1:20" x14ac:dyDescent="0.35">
      <c r="A18">
        <v>17</v>
      </c>
      <c r="B18" t="s">
        <v>65</v>
      </c>
      <c r="C18" t="s">
        <v>26</v>
      </c>
      <c r="D18" t="s">
        <v>22</v>
      </c>
      <c r="E18">
        <v>98000</v>
      </c>
      <c r="F18" t="s">
        <v>22</v>
      </c>
      <c r="G18">
        <v>0</v>
      </c>
      <c r="H18" t="s">
        <v>22</v>
      </c>
      <c r="I18">
        <v>1</v>
      </c>
      <c r="J18" t="s">
        <v>38</v>
      </c>
      <c r="K18" t="s">
        <v>33</v>
      </c>
      <c r="L18" t="s">
        <v>50</v>
      </c>
      <c r="M18">
        <v>98000</v>
      </c>
      <c r="P18" s="8" t="s">
        <v>159</v>
      </c>
      <c r="Q18" s="8">
        <v>30</v>
      </c>
      <c r="S18" s="8" t="s">
        <v>36</v>
      </c>
      <c r="T18" s="8" t="str">
        <f>TEXT(P14/Q18,"0,00%")</f>
        <v>133,33%</v>
      </c>
    </row>
    <row r="19" spans="1:20" x14ac:dyDescent="0.35">
      <c r="A19">
        <v>18</v>
      </c>
      <c r="B19" t="s">
        <v>66</v>
      </c>
      <c r="C19" t="s">
        <v>8</v>
      </c>
      <c r="D19" t="s">
        <v>13</v>
      </c>
      <c r="E19">
        <v>25000</v>
      </c>
      <c r="F19" t="s">
        <v>22</v>
      </c>
      <c r="G19">
        <v>0</v>
      </c>
      <c r="H19" t="s">
        <v>28</v>
      </c>
      <c r="I19">
        <v>2</v>
      </c>
      <c r="J19" t="s">
        <v>37</v>
      </c>
      <c r="K19" t="s">
        <v>31</v>
      </c>
      <c r="L19" t="s">
        <v>48</v>
      </c>
      <c r="M19">
        <v>50000</v>
      </c>
      <c r="P19" s="8" t="s">
        <v>160</v>
      </c>
      <c r="Q19" s="8">
        <v>50</v>
      </c>
      <c r="S19" s="8" t="s">
        <v>154</v>
      </c>
      <c r="T19" s="8" t="str">
        <f>TEXT(T6/Q19,"0,00%")</f>
        <v>56,00%</v>
      </c>
    </row>
    <row r="20" spans="1:20" x14ac:dyDescent="0.35">
      <c r="A20">
        <v>19</v>
      </c>
      <c r="B20" t="s">
        <v>67</v>
      </c>
      <c r="C20" t="s">
        <v>10</v>
      </c>
      <c r="D20" t="s">
        <v>14</v>
      </c>
      <c r="E20">
        <v>25000</v>
      </c>
      <c r="F20" t="s">
        <v>20</v>
      </c>
      <c r="G20">
        <v>5000</v>
      </c>
      <c r="H20" t="s">
        <v>29</v>
      </c>
      <c r="I20">
        <v>2</v>
      </c>
      <c r="J20" t="s">
        <v>38</v>
      </c>
      <c r="K20" t="s">
        <v>33</v>
      </c>
      <c r="L20" t="s">
        <v>50</v>
      </c>
      <c r="M20">
        <v>55000</v>
      </c>
      <c r="P20" s="8" t="s">
        <v>161</v>
      </c>
      <c r="Q20" s="8">
        <v>4</v>
      </c>
      <c r="S20" s="8" t="s">
        <v>155</v>
      </c>
      <c r="T20" s="8" t="str">
        <f>TEXT(T9/Q20,"0,00%")</f>
        <v>75,00%</v>
      </c>
    </row>
    <row r="21" spans="1:20" x14ac:dyDescent="0.35">
      <c r="A21">
        <v>20</v>
      </c>
      <c r="B21" t="s">
        <v>68</v>
      </c>
      <c r="C21" t="s">
        <v>7</v>
      </c>
      <c r="D21" t="s">
        <v>15</v>
      </c>
      <c r="E21">
        <v>22000</v>
      </c>
      <c r="F21" t="s">
        <v>20</v>
      </c>
      <c r="G21">
        <v>5000</v>
      </c>
      <c r="H21" t="s">
        <v>29</v>
      </c>
      <c r="I21">
        <v>1</v>
      </c>
      <c r="J21" t="s">
        <v>37</v>
      </c>
      <c r="K21" t="s">
        <v>33</v>
      </c>
      <c r="L21" t="s">
        <v>48</v>
      </c>
      <c r="M21">
        <v>27000</v>
      </c>
      <c r="P21" s="8" t="s">
        <v>162</v>
      </c>
      <c r="Q21" s="8">
        <v>5</v>
      </c>
      <c r="S21" s="8" t="s">
        <v>40</v>
      </c>
      <c r="T21" s="8" t="str">
        <f>TEXT(T10/Q21,"0,00%")</f>
        <v>60,00%</v>
      </c>
    </row>
    <row r="22" spans="1:20" x14ac:dyDescent="0.35">
      <c r="A22">
        <v>21</v>
      </c>
      <c r="B22" t="s">
        <v>69</v>
      </c>
      <c r="C22" t="s">
        <v>11</v>
      </c>
      <c r="D22" t="s">
        <v>14</v>
      </c>
      <c r="E22">
        <v>25000</v>
      </c>
      <c r="F22" t="s">
        <v>19</v>
      </c>
      <c r="G22">
        <v>7000</v>
      </c>
      <c r="H22" t="s">
        <v>28</v>
      </c>
      <c r="I22">
        <v>1</v>
      </c>
      <c r="J22" t="s">
        <v>38</v>
      </c>
      <c r="K22" t="s">
        <v>34</v>
      </c>
      <c r="L22" t="s">
        <v>50</v>
      </c>
      <c r="M22">
        <v>32000</v>
      </c>
      <c r="P22" s="9" t="s">
        <v>163</v>
      </c>
      <c r="Q22" s="9">
        <v>2</v>
      </c>
      <c r="S22" s="9" t="s">
        <v>156</v>
      </c>
      <c r="T22" s="9" t="str">
        <f>TEXT(T11/Q22,"0,00%")</f>
        <v>50,00%</v>
      </c>
    </row>
    <row r="23" spans="1:20" x14ac:dyDescent="0.35">
      <c r="A23">
        <v>22</v>
      </c>
      <c r="B23" t="s">
        <v>70</v>
      </c>
      <c r="C23" t="s">
        <v>11</v>
      </c>
      <c r="D23" t="s">
        <v>13</v>
      </c>
      <c r="E23">
        <v>28000</v>
      </c>
      <c r="F23" t="s">
        <v>20</v>
      </c>
      <c r="G23">
        <v>5000</v>
      </c>
      <c r="H23" t="s">
        <v>28</v>
      </c>
      <c r="I23">
        <v>3</v>
      </c>
      <c r="J23" t="s">
        <v>38</v>
      </c>
      <c r="K23" t="s">
        <v>33</v>
      </c>
      <c r="L23" t="s">
        <v>50</v>
      </c>
      <c r="M23">
        <v>89000</v>
      </c>
    </row>
    <row r="24" spans="1:20" x14ac:dyDescent="0.35">
      <c r="A24">
        <v>23</v>
      </c>
      <c r="B24" t="s">
        <v>71</v>
      </c>
      <c r="C24" t="s">
        <v>7</v>
      </c>
      <c r="D24" t="s">
        <v>15</v>
      </c>
      <c r="E24">
        <v>22000</v>
      </c>
      <c r="F24" t="s">
        <v>18</v>
      </c>
      <c r="G24">
        <v>7000</v>
      </c>
      <c r="H24" t="s">
        <v>28</v>
      </c>
      <c r="I24">
        <v>1</v>
      </c>
      <c r="J24" t="s">
        <v>37</v>
      </c>
      <c r="K24" t="s">
        <v>33</v>
      </c>
      <c r="L24" t="s">
        <v>48</v>
      </c>
      <c r="M24">
        <v>29000</v>
      </c>
    </row>
    <row r="25" spans="1:20" x14ac:dyDescent="0.35">
      <c r="A25">
        <v>24</v>
      </c>
      <c r="B25" t="s">
        <v>72</v>
      </c>
      <c r="C25" t="s">
        <v>10</v>
      </c>
      <c r="D25" t="s">
        <v>14</v>
      </c>
      <c r="E25">
        <v>25000</v>
      </c>
      <c r="F25" t="s">
        <v>22</v>
      </c>
      <c r="G25">
        <v>0</v>
      </c>
      <c r="H25" t="s">
        <v>29</v>
      </c>
      <c r="I25">
        <v>3</v>
      </c>
      <c r="J25" t="s">
        <v>38</v>
      </c>
      <c r="K25" t="s">
        <v>33</v>
      </c>
      <c r="L25" t="s">
        <v>50</v>
      </c>
      <c r="M25">
        <v>75000</v>
      </c>
      <c r="P25" t="s">
        <v>164</v>
      </c>
      <c r="Q25" s="10">
        <f>P2/P5</f>
        <v>57070</v>
      </c>
    </row>
    <row r="26" spans="1:20" x14ac:dyDescent="0.35">
      <c r="A26">
        <v>25</v>
      </c>
      <c r="B26" t="s">
        <v>73</v>
      </c>
      <c r="C26" t="s">
        <v>12</v>
      </c>
      <c r="D26" t="s">
        <v>14</v>
      </c>
      <c r="E26">
        <v>22000</v>
      </c>
      <c r="F26" t="s">
        <v>23</v>
      </c>
      <c r="G26">
        <v>7000</v>
      </c>
      <c r="H26" t="s">
        <v>28</v>
      </c>
      <c r="I26">
        <v>2</v>
      </c>
      <c r="J26" t="s">
        <v>37</v>
      </c>
      <c r="K26" t="s">
        <v>34</v>
      </c>
      <c r="L26" t="s">
        <v>48</v>
      </c>
      <c r="M26">
        <v>51000</v>
      </c>
      <c r="P26" t="s">
        <v>165</v>
      </c>
      <c r="Q26" s="3">
        <f>P8/P5</f>
        <v>2.2200000000000002</v>
      </c>
    </row>
    <row r="27" spans="1:20" x14ac:dyDescent="0.35">
      <c r="A27">
        <v>26</v>
      </c>
      <c r="B27" t="s">
        <v>74</v>
      </c>
      <c r="C27" t="s">
        <v>3</v>
      </c>
      <c r="D27" t="s">
        <v>15</v>
      </c>
      <c r="E27">
        <v>22000</v>
      </c>
      <c r="F27" t="s">
        <v>22</v>
      </c>
      <c r="G27">
        <v>0</v>
      </c>
      <c r="H27" t="s">
        <v>28</v>
      </c>
      <c r="I27">
        <v>3</v>
      </c>
      <c r="J27" t="s">
        <v>38</v>
      </c>
      <c r="K27" t="s">
        <v>31</v>
      </c>
      <c r="L27" t="s">
        <v>50</v>
      </c>
      <c r="M27">
        <v>66000</v>
      </c>
    </row>
    <row r="28" spans="1:20" x14ac:dyDescent="0.35">
      <c r="A28">
        <v>27</v>
      </c>
      <c r="B28" t="s">
        <v>75</v>
      </c>
      <c r="C28" t="s">
        <v>9</v>
      </c>
      <c r="D28" t="s">
        <v>15</v>
      </c>
      <c r="E28">
        <v>19000</v>
      </c>
      <c r="F28" t="s">
        <v>24</v>
      </c>
      <c r="G28">
        <v>5000</v>
      </c>
      <c r="H28" t="s">
        <v>28</v>
      </c>
      <c r="I28">
        <v>2</v>
      </c>
      <c r="J28" t="s">
        <v>38</v>
      </c>
      <c r="K28" t="s">
        <v>34</v>
      </c>
      <c r="L28" t="s">
        <v>50</v>
      </c>
      <c r="M28">
        <v>43000</v>
      </c>
    </row>
    <row r="29" spans="1:20" x14ac:dyDescent="0.35">
      <c r="A29">
        <v>28</v>
      </c>
      <c r="B29" t="s">
        <v>76</v>
      </c>
      <c r="C29" t="s">
        <v>10</v>
      </c>
      <c r="D29" t="s">
        <v>14</v>
      </c>
      <c r="E29">
        <v>25000</v>
      </c>
      <c r="F29" t="s">
        <v>19</v>
      </c>
      <c r="G29">
        <v>7000</v>
      </c>
      <c r="H29" t="s">
        <v>28</v>
      </c>
      <c r="I29">
        <v>3</v>
      </c>
      <c r="J29" t="s">
        <v>37</v>
      </c>
      <c r="K29" t="s">
        <v>33</v>
      </c>
      <c r="L29" t="s">
        <v>48</v>
      </c>
      <c r="M29">
        <v>82000</v>
      </c>
    </row>
    <row r="30" spans="1:20" x14ac:dyDescent="0.35">
      <c r="A30">
        <v>29</v>
      </c>
      <c r="B30" t="s">
        <v>77</v>
      </c>
      <c r="C30" t="s">
        <v>7</v>
      </c>
      <c r="D30" t="s">
        <v>15</v>
      </c>
      <c r="E30">
        <v>22000</v>
      </c>
      <c r="F30" t="s">
        <v>22</v>
      </c>
      <c r="G30">
        <v>0</v>
      </c>
      <c r="H30" t="s">
        <v>29</v>
      </c>
      <c r="I30">
        <v>2</v>
      </c>
      <c r="J30" t="s">
        <v>37</v>
      </c>
      <c r="K30" t="s">
        <v>33</v>
      </c>
      <c r="L30" t="s">
        <v>48</v>
      </c>
      <c r="M30">
        <v>44000</v>
      </c>
    </row>
    <row r="31" spans="1:20" x14ac:dyDescent="0.35">
      <c r="A31">
        <v>30</v>
      </c>
      <c r="B31" t="s">
        <v>78</v>
      </c>
      <c r="C31" t="s">
        <v>9</v>
      </c>
      <c r="D31" t="s">
        <v>13</v>
      </c>
      <c r="E31">
        <v>27000</v>
      </c>
      <c r="F31" t="s">
        <v>19</v>
      </c>
      <c r="G31">
        <v>7000</v>
      </c>
      <c r="H31" t="s">
        <v>28</v>
      </c>
      <c r="I31">
        <v>3</v>
      </c>
      <c r="J31" t="s">
        <v>37</v>
      </c>
      <c r="K31" t="s">
        <v>31</v>
      </c>
      <c r="L31" t="s">
        <v>48</v>
      </c>
      <c r="M31">
        <v>88000</v>
      </c>
    </row>
    <row r="32" spans="1:20" x14ac:dyDescent="0.35">
      <c r="A32">
        <v>31</v>
      </c>
      <c r="B32" t="s">
        <v>79</v>
      </c>
      <c r="C32" t="s">
        <v>3</v>
      </c>
      <c r="D32" t="s">
        <v>14</v>
      </c>
      <c r="E32">
        <v>27000</v>
      </c>
      <c r="F32" t="s">
        <v>19</v>
      </c>
      <c r="G32">
        <v>7000</v>
      </c>
      <c r="H32" t="s">
        <v>28</v>
      </c>
      <c r="I32">
        <v>1</v>
      </c>
      <c r="J32" t="s">
        <v>38</v>
      </c>
      <c r="K32" t="s">
        <v>33</v>
      </c>
      <c r="L32" t="s">
        <v>50</v>
      </c>
      <c r="M32">
        <v>34000</v>
      </c>
    </row>
    <row r="33" spans="1:13" x14ac:dyDescent="0.35">
      <c r="A33">
        <v>32</v>
      </c>
      <c r="B33" t="s">
        <v>80</v>
      </c>
      <c r="C33" t="s">
        <v>4</v>
      </c>
      <c r="D33" t="s">
        <v>14</v>
      </c>
      <c r="E33">
        <v>22000</v>
      </c>
      <c r="F33" t="s">
        <v>20</v>
      </c>
      <c r="G33">
        <v>5000</v>
      </c>
      <c r="H33" t="s">
        <v>29</v>
      </c>
      <c r="I33">
        <v>4</v>
      </c>
      <c r="J33" t="s">
        <v>37</v>
      </c>
      <c r="K33" t="s">
        <v>32</v>
      </c>
      <c r="L33" t="s">
        <v>48</v>
      </c>
      <c r="M33">
        <v>93000</v>
      </c>
    </row>
    <row r="34" spans="1:13" x14ac:dyDescent="0.35">
      <c r="A34">
        <v>33</v>
      </c>
      <c r="B34" t="s">
        <v>81</v>
      </c>
      <c r="C34" t="s">
        <v>6</v>
      </c>
      <c r="D34" t="s">
        <v>14</v>
      </c>
      <c r="E34">
        <v>22000</v>
      </c>
      <c r="F34" t="s">
        <v>20</v>
      </c>
      <c r="G34">
        <v>5000</v>
      </c>
      <c r="H34" t="s">
        <v>29</v>
      </c>
      <c r="I34">
        <v>3</v>
      </c>
      <c r="J34" t="s">
        <v>38</v>
      </c>
      <c r="K34" t="s">
        <v>33</v>
      </c>
      <c r="L34" t="s">
        <v>50</v>
      </c>
      <c r="M34">
        <v>71000</v>
      </c>
    </row>
    <row r="35" spans="1:13" x14ac:dyDescent="0.35">
      <c r="A35">
        <v>34</v>
      </c>
      <c r="B35" t="s">
        <v>82</v>
      </c>
      <c r="C35" t="s">
        <v>11</v>
      </c>
      <c r="D35" t="s">
        <v>14</v>
      </c>
      <c r="E35">
        <v>25000</v>
      </c>
      <c r="F35" t="s">
        <v>23</v>
      </c>
      <c r="G35">
        <v>7000</v>
      </c>
      <c r="H35" t="s">
        <v>28</v>
      </c>
      <c r="I35">
        <v>2</v>
      </c>
      <c r="J35" t="s">
        <v>37</v>
      </c>
      <c r="K35" t="s">
        <v>32</v>
      </c>
      <c r="L35" t="s">
        <v>48</v>
      </c>
      <c r="M35">
        <v>57000</v>
      </c>
    </row>
    <row r="36" spans="1:13" x14ac:dyDescent="0.35">
      <c r="A36">
        <v>35</v>
      </c>
      <c r="B36" t="s">
        <v>83</v>
      </c>
      <c r="C36" t="s">
        <v>25</v>
      </c>
      <c r="D36" t="s">
        <v>13</v>
      </c>
      <c r="E36">
        <v>27000</v>
      </c>
      <c r="F36" t="s">
        <v>24</v>
      </c>
      <c r="G36">
        <v>5000</v>
      </c>
      <c r="H36" t="s">
        <v>29</v>
      </c>
      <c r="I36">
        <v>2</v>
      </c>
      <c r="J36" t="s">
        <v>38</v>
      </c>
      <c r="K36" t="s">
        <v>31</v>
      </c>
      <c r="L36" t="s">
        <v>50</v>
      </c>
      <c r="M36">
        <v>59000</v>
      </c>
    </row>
    <row r="37" spans="1:13" x14ac:dyDescent="0.35">
      <c r="A37">
        <v>36</v>
      </c>
      <c r="B37" t="s">
        <v>84</v>
      </c>
      <c r="C37" t="s">
        <v>3</v>
      </c>
      <c r="D37" t="s">
        <v>13</v>
      </c>
      <c r="E37">
        <v>30000</v>
      </c>
      <c r="F37" t="s">
        <v>23</v>
      </c>
      <c r="G37">
        <v>7000</v>
      </c>
      <c r="H37" t="s">
        <v>28</v>
      </c>
      <c r="I37">
        <v>2</v>
      </c>
      <c r="J37" t="s">
        <v>38</v>
      </c>
      <c r="K37" t="s">
        <v>32</v>
      </c>
      <c r="L37" t="s">
        <v>50</v>
      </c>
      <c r="M37">
        <v>67000</v>
      </c>
    </row>
    <row r="38" spans="1:13" x14ac:dyDescent="0.35">
      <c r="A38">
        <v>37</v>
      </c>
      <c r="B38" t="s">
        <v>85</v>
      </c>
      <c r="C38" t="s">
        <v>7</v>
      </c>
      <c r="D38" t="s">
        <v>15</v>
      </c>
      <c r="E38">
        <v>22000</v>
      </c>
      <c r="F38" t="s">
        <v>20</v>
      </c>
      <c r="G38">
        <v>5000</v>
      </c>
      <c r="H38" t="s">
        <v>29</v>
      </c>
      <c r="I38">
        <v>1</v>
      </c>
      <c r="J38" t="s">
        <v>38</v>
      </c>
      <c r="K38" t="s">
        <v>33</v>
      </c>
      <c r="L38" t="s">
        <v>50</v>
      </c>
      <c r="M38">
        <v>27000</v>
      </c>
    </row>
    <row r="39" spans="1:13" x14ac:dyDescent="0.35">
      <c r="A39">
        <v>38</v>
      </c>
      <c r="B39" t="s">
        <v>86</v>
      </c>
      <c r="C39" t="s">
        <v>4</v>
      </c>
      <c r="D39" t="s">
        <v>15</v>
      </c>
      <c r="E39">
        <v>17000</v>
      </c>
      <c r="F39" t="s">
        <v>24</v>
      </c>
      <c r="G39">
        <v>5000</v>
      </c>
      <c r="H39" t="s">
        <v>29</v>
      </c>
      <c r="I39">
        <v>2</v>
      </c>
      <c r="J39" t="s">
        <v>38</v>
      </c>
      <c r="K39" t="s">
        <v>33</v>
      </c>
      <c r="L39" t="s">
        <v>50</v>
      </c>
      <c r="M39">
        <v>39000</v>
      </c>
    </row>
    <row r="40" spans="1:13" x14ac:dyDescent="0.35">
      <c r="A40">
        <v>39</v>
      </c>
      <c r="B40" t="s">
        <v>87</v>
      </c>
      <c r="C40" t="s">
        <v>4</v>
      </c>
      <c r="D40" t="s">
        <v>13</v>
      </c>
      <c r="E40">
        <v>25000</v>
      </c>
      <c r="F40" t="s">
        <v>21</v>
      </c>
      <c r="G40">
        <v>7000</v>
      </c>
      <c r="H40" t="s">
        <v>29</v>
      </c>
      <c r="I40">
        <v>1</v>
      </c>
      <c r="J40" t="s">
        <v>38</v>
      </c>
      <c r="K40" t="s">
        <v>33</v>
      </c>
      <c r="L40" t="s">
        <v>50</v>
      </c>
      <c r="M40">
        <v>32000</v>
      </c>
    </row>
    <row r="41" spans="1:13" x14ac:dyDescent="0.35">
      <c r="A41">
        <v>40</v>
      </c>
      <c r="B41" t="s">
        <v>88</v>
      </c>
      <c r="C41" t="s">
        <v>10</v>
      </c>
      <c r="D41" t="s">
        <v>14</v>
      </c>
      <c r="E41">
        <v>25000</v>
      </c>
      <c r="F41" t="s">
        <v>19</v>
      </c>
      <c r="G41">
        <v>7000</v>
      </c>
      <c r="H41" t="s">
        <v>29</v>
      </c>
      <c r="I41">
        <v>3</v>
      </c>
      <c r="J41" t="s">
        <v>38</v>
      </c>
      <c r="K41" t="s">
        <v>31</v>
      </c>
      <c r="L41" t="s">
        <v>50</v>
      </c>
      <c r="M41">
        <v>82000</v>
      </c>
    </row>
    <row r="42" spans="1:13" x14ac:dyDescent="0.35">
      <c r="A42">
        <v>41</v>
      </c>
      <c r="B42" t="s">
        <v>89</v>
      </c>
      <c r="C42" t="s">
        <v>12</v>
      </c>
      <c r="D42" t="s">
        <v>15</v>
      </c>
      <c r="E42">
        <v>17000</v>
      </c>
      <c r="F42" t="s">
        <v>23</v>
      </c>
      <c r="G42">
        <v>7000</v>
      </c>
      <c r="H42" t="s">
        <v>29</v>
      </c>
      <c r="I42">
        <v>2</v>
      </c>
      <c r="J42" t="s">
        <v>37</v>
      </c>
      <c r="K42" t="s">
        <v>32</v>
      </c>
      <c r="L42" t="s">
        <v>48</v>
      </c>
      <c r="M42">
        <v>41000</v>
      </c>
    </row>
    <row r="43" spans="1:13" x14ac:dyDescent="0.35">
      <c r="A43">
        <v>42</v>
      </c>
      <c r="B43" t="s">
        <v>90</v>
      </c>
      <c r="C43" t="s">
        <v>9</v>
      </c>
      <c r="D43" t="s">
        <v>14</v>
      </c>
      <c r="E43">
        <v>24000</v>
      </c>
      <c r="F43" t="s">
        <v>21</v>
      </c>
      <c r="G43">
        <v>7000</v>
      </c>
      <c r="H43" t="s">
        <v>28</v>
      </c>
      <c r="I43">
        <v>3</v>
      </c>
      <c r="J43" t="s">
        <v>38</v>
      </c>
      <c r="K43" t="s">
        <v>32</v>
      </c>
      <c r="L43" t="s">
        <v>50</v>
      </c>
      <c r="M43">
        <v>79000</v>
      </c>
    </row>
    <row r="44" spans="1:13" x14ac:dyDescent="0.35">
      <c r="A44">
        <v>43</v>
      </c>
      <c r="B44" t="s">
        <v>91</v>
      </c>
      <c r="C44" t="s">
        <v>10</v>
      </c>
      <c r="D44" t="s">
        <v>15</v>
      </c>
      <c r="E44">
        <v>20000</v>
      </c>
      <c r="F44" t="s">
        <v>19</v>
      </c>
      <c r="G44">
        <v>7000</v>
      </c>
      <c r="H44" t="s">
        <v>28</v>
      </c>
      <c r="I44">
        <v>2</v>
      </c>
      <c r="J44" t="s">
        <v>38</v>
      </c>
      <c r="K44" t="s">
        <v>32</v>
      </c>
      <c r="L44" t="s">
        <v>50</v>
      </c>
      <c r="M44">
        <v>47000</v>
      </c>
    </row>
    <row r="45" spans="1:13" x14ac:dyDescent="0.35">
      <c r="A45">
        <v>44</v>
      </c>
      <c r="B45" t="s">
        <v>92</v>
      </c>
      <c r="C45" t="s">
        <v>10</v>
      </c>
      <c r="D45" t="s">
        <v>14</v>
      </c>
      <c r="E45">
        <v>25000</v>
      </c>
      <c r="F45" t="s">
        <v>24</v>
      </c>
      <c r="G45">
        <v>5000</v>
      </c>
      <c r="H45" t="s">
        <v>29</v>
      </c>
      <c r="I45">
        <v>3</v>
      </c>
      <c r="J45" t="s">
        <v>37</v>
      </c>
      <c r="K45" t="s">
        <v>31</v>
      </c>
      <c r="L45" t="s">
        <v>48</v>
      </c>
      <c r="M45">
        <v>80000</v>
      </c>
    </row>
    <row r="46" spans="1:13" x14ac:dyDescent="0.35">
      <c r="A46">
        <v>45</v>
      </c>
      <c r="B46" t="s">
        <v>93</v>
      </c>
      <c r="C46" t="s">
        <v>12</v>
      </c>
      <c r="D46" t="s">
        <v>14</v>
      </c>
      <c r="E46">
        <v>22000</v>
      </c>
      <c r="F46" t="s">
        <v>20</v>
      </c>
      <c r="G46">
        <v>5000</v>
      </c>
      <c r="H46" t="s">
        <v>29</v>
      </c>
      <c r="I46">
        <v>1</v>
      </c>
      <c r="J46" t="s">
        <v>37</v>
      </c>
      <c r="K46" t="s">
        <v>31</v>
      </c>
      <c r="L46" t="s">
        <v>48</v>
      </c>
      <c r="M46">
        <v>27000</v>
      </c>
    </row>
    <row r="47" spans="1:13" x14ac:dyDescent="0.35">
      <c r="A47">
        <v>46</v>
      </c>
      <c r="B47" t="s">
        <v>94</v>
      </c>
      <c r="C47" t="s">
        <v>9</v>
      </c>
      <c r="D47" t="s">
        <v>13</v>
      </c>
      <c r="E47">
        <v>27000</v>
      </c>
      <c r="F47" t="s">
        <v>22</v>
      </c>
      <c r="G47">
        <v>0</v>
      </c>
      <c r="H47" t="s">
        <v>28</v>
      </c>
      <c r="I47">
        <v>2</v>
      </c>
      <c r="J47" t="s">
        <v>38</v>
      </c>
      <c r="K47" t="s">
        <v>33</v>
      </c>
      <c r="L47" t="s">
        <v>50</v>
      </c>
      <c r="M47">
        <v>54000</v>
      </c>
    </row>
    <row r="48" spans="1:13" x14ac:dyDescent="0.35">
      <c r="A48">
        <v>47</v>
      </c>
      <c r="B48" t="s">
        <v>95</v>
      </c>
      <c r="C48" t="s">
        <v>12</v>
      </c>
      <c r="D48" t="s">
        <v>13</v>
      </c>
      <c r="E48">
        <v>25000</v>
      </c>
      <c r="F48" t="s">
        <v>19</v>
      </c>
      <c r="G48">
        <v>7000</v>
      </c>
      <c r="H48" t="s">
        <v>29</v>
      </c>
      <c r="I48">
        <v>1</v>
      </c>
      <c r="J48" t="s">
        <v>37</v>
      </c>
      <c r="K48" t="s">
        <v>33</v>
      </c>
      <c r="L48" t="s">
        <v>48</v>
      </c>
      <c r="M48">
        <v>32000</v>
      </c>
    </row>
    <row r="49" spans="1:13" x14ac:dyDescent="0.35">
      <c r="A49">
        <v>48</v>
      </c>
      <c r="B49" t="s">
        <v>96</v>
      </c>
      <c r="C49" t="s">
        <v>10</v>
      </c>
      <c r="D49" t="s">
        <v>15</v>
      </c>
      <c r="E49">
        <v>20000</v>
      </c>
      <c r="F49" t="s">
        <v>22</v>
      </c>
      <c r="G49">
        <v>0</v>
      </c>
      <c r="H49" t="s">
        <v>28</v>
      </c>
      <c r="I49">
        <v>3</v>
      </c>
      <c r="J49" t="s">
        <v>37</v>
      </c>
      <c r="K49" t="s">
        <v>34</v>
      </c>
      <c r="L49" t="s">
        <v>48</v>
      </c>
      <c r="M49">
        <v>60000</v>
      </c>
    </row>
    <row r="50" spans="1:13" x14ac:dyDescent="0.35">
      <c r="A50">
        <v>49</v>
      </c>
      <c r="B50" t="s">
        <v>97</v>
      </c>
      <c r="C50" t="s">
        <v>10</v>
      </c>
      <c r="D50" t="s">
        <v>15</v>
      </c>
      <c r="E50">
        <v>20000</v>
      </c>
      <c r="F50" t="s">
        <v>23</v>
      </c>
      <c r="G50">
        <v>7000</v>
      </c>
      <c r="H50" t="s">
        <v>28</v>
      </c>
      <c r="I50">
        <v>1</v>
      </c>
      <c r="J50" t="s">
        <v>38</v>
      </c>
      <c r="K50" t="s">
        <v>31</v>
      </c>
      <c r="L50" t="s">
        <v>50</v>
      </c>
      <c r="M50">
        <v>27000</v>
      </c>
    </row>
    <row r="51" spans="1:13" x14ac:dyDescent="0.35">
      <c r="A51">
        <v>50</v>
      </c>
      <c r="B51" t="s">
        <v>98</v>
      </c>
      <c r="C51" t="s">
        <v>5</v>
      </c>
      <c r="D51" t="s">
        <v>15</v>
      </c>
      <c r="E51">
        <v>20000</v>
      </c>
      <c r="F51" t="s">
        <v>18</v>
      </c>
      <c r="G51">
        <v>7000</v>
      </c>
      <c r="H51" t="s">
        <v>29</v>
      </c>
      <c r="I51">
        <v>2</v>
      </c>
      <c r="J51" t="s">
        <v>38</v>
      </c>
      <c r="K51" t="s">
        <v>31</v>
      </c>
      <c r="L51" t="s">
        <v>50</v>
      </c>
      <c r="M51">
        <v>47000</v>
      </c>
    </row>
    <row r="52" spans="1:13" x14ac:dyDescent="0.35">
      <c r="A52">
        <v>51</v>
      </c>
      <c r="B52" t="s">
        <v>99</v>
      </c>
      <c r="C52" t="s">
        <v>5</v>
      </c>
      <c r="D52" t="s">
        <v>14</v>
      </c>
      <c r="E52">
        <v>24000</v>
      </c>
      <c r="F52" t="s">
        <v>24</v>
      </c>
      <c r="G52">
        <v>5000</v>
      </c>
      <c r="H52" t="s">
        <v>28</v>
      </c>
      <c r="I52">
        <v>2</v>
      </c>
      <c r="J52" t="s">
        <v>38</v>
      </c>
      <c r="K52" t="s">
        <v>33</v>
      </c>
      <c r="L52" t="s">
        <v>50</v>
      </c>
      <c r="M52">
        <v>53000</v>
      </c>
    </row>
    <row r="53" spans="1:13" x14ac:dyDescent="0.35">
      <c r="A53">
        <v>52</v>
      </c>
      <c r="B53" t="s">
        <v>100</v>
      </c>
      <c r="C53" t="s">
        <v>11</v>
      </c>
      <c r="D53" t="s">
        <v>14</v>
      </c>
      <c r="E53">
        <v>25000</v>
      </c>
      <c r="F53" t="s">
        <v>18</v>
      </c>
      <c r="G53">
        <v>7000</v>
      </c>
      <c r="H53" t="s">
        <v>28</v>
      </c>
      <c r="I53">
        <v>3</v>
      </c>
      <c r="J53" t="s">
        <v>37</v>
      </c>
      <c r="K53" t="s">
        <v>31</v>
      </c>
      <c r="L53" t="s">
        <v>48</v>
      </c>
      <c r="M53">
        <v>82000</v>
      </c>
    </row>
    <row r="54" spans="1:13" x14ac:dyDescent="0.35">
      <c r="A54">
        <v>53</v>
      </c>
      <c r="B54" t="s">
        <v>101</v>
      </c>
      <c r="C54" t="s">
        <v>10</v>
      </c>
      <c r="D54" t="s">
        <v>15</v>
      </c>
      <c r="E54">
        <v>20000</v>
      </c>
      <c r="F54" t="s">
        <v>21</v>
      </c>
      <c r="G54">
        <v>7000</v>
      </c>
      <c r="H54" t="s">
        <v>29</v>
      </c>
      <c r="I54">
        <v>3</v>
      </c>
      <c r="J54" t="s">
        <v>37</v>
      </c>
      <c r="K54" t="s">
        <v>33</v>
      </c>
      <c r="L54" t="s">
        <v>48</v>
      </c>
      <c r="M54">
        <v>67000</v>
      </c>
    </row>
    <row r="55" spans="1:13" x14ac:dyDescent="0.35">
      <c r="A55">
        <v>54</v>
      </c>
      <c r="B55" t="s">
        <v>102</v>
      </c>
      <c r="C55" t="s">
        <v>8</v>
      </c>
      <c r="D55" t="s">
        <v>13</v>
      </c>
      <c r="E55">
        <v>25000</v>
      </c>
      <c r="F55" t="s">
        <v>18</v>
      </c>
      <c r="G55">
        <v>7000</v>
      </c>
      <c r="H55" t="s">
        <v>28</v>
      </c>
      <c r="I55">
        <v>1</v>
      </c>
      <c r="J55" t="s">
        <v>37</v>
      </c>
      <c r="K55" t="s">
        <v>33</v>
      </c>
      <c r="L55" t="s">
        <v>48</v>
      </c>
      <c r="M55">
        <v>32000</v>
      </c>
    </row>
    <row r="56" spans="1:13" x14ac:dyDescent="0.35">
      <c r="A56">
        <v>55</v>
      </c>
      <c r="B56" t="s">
        <v>103</v>
      </c>
      <c r="C56" t="s">
        <v>6</v>
      </c>
      <c r="D56" t="s">
        <v>15</v>
      </c>
      <c r="E56">
        <v>17000</v>
      </c>
      <c r="F56" t="s">
        <v>20</v>
      </c>
      <c r="G56">
        <v>5000</v>
      </c>
      <c r="H56" t="s">
        <v>29</v>
      </c>
      <c r="I56">
        <v>3</v>
      </c>
      <c r="J56" t="s">
        <v>38</v>
      </c>
      <c r="K56" t="s">
        <v>32</v>
      </c>
      <c r="L56" t="s">
        <v>50</v>
      </c>
      <c r="M56">
        <v>56000</v>
      </c>
    </row>
    <row r="57" spans="1:13" x14ac:dyDescent="0.35">
      <c r="A57">
        <v>56</v>
      </c>
      <c r="B57" t="s">
        <v>104</v>
      </c>
      <c r="C57" t="s">
        <v>25</v>
      </c>
      <c r="D57" t="s">
        <v>14</v>
      </c>
      <c r="E57">
        <v>25000</v>
      </c>
      <c r="F57" t="s">
        <v>23</v>
      </c>
      <c r="G57">
        <v>7000</v>
      </c>
      <c r="H57" t="s">
        <v>28</v>
      </c>
      <c r="I57">
        <v>3</v>
      </c>
      <c r="J57" t="s">
        <v>38</v>
      </c>
      <c r="K57" t="s">
        <v>33</v>
      </c>
      <c r="L57" t="s">
        <v>50</v>
      </c>
      <c r="M57">
        <v>82000</v>
      </c>
    </row>
    <row r="58" spans="1:13" x14ac:dyDescent="0.35">
      <c r="A58">
        <v>57</v>
      </c>
      <c r="B58" t="s">
        <v>105</v>
      </c>
      <c r="C58" t="s">
        <v>6</v>
      </c>
      <c r="D58" t="s">
        <v>14</v>
      </c>
      <c r="E58">
        <v>22000</v>
      </c>
      <c r="F58" t="s">
        <v>20</v>
      </c>
      <c r="G58">
        <v>5000</v>
      </c>
      <c r="H58" t="s">
        <v>28</v>
      </c>
      <c r="I58">
        <v>2</v>
      </c>
      <c r="J58" t="s">
        <v>38</v>
      </c>
      <c r="K58" t="s">
        <v>31</v>
      </c>
      <c r="L58" t="s">
        <v>50</v>
      </c>
      <c r="M58">
        <v>49000</v>
      </c>
    </row>
    <row r="59" spans="1:13" x14ac:dyDescent="0.35">
      <c r="A59">
        <v>58</v>
      </c>
      <c r="B59" t="s">
        <v>106</v>
      </c>
      <c r="C59" t="s">
        <v>3</v>
      </c>
      <c r="D59" t="s">
        <v>14</v>
      </c>
      <c r="E59">
        <v>27000</v>
      </c>
      <c r="F59" t="s">
        <v>19</v>
      </c>
      <c r="G59">
        <v>7000</v>
      </c>
      <c r="H59" t="s">
        <v>29</v>
      </c>
      <c r="I59">
        <v>2</v>
      </c>
      <c r="J59" t="s">
        <v>37</v>
      </c>
      <c r="K59" t="s">
        <v>31</v>
      </c>
      <c r="L59" t="s">
        <v>48</v>
      </c>
      <c r="M59">
        <v>61000</v>
      </c>
    </row>
    <row r="60" spans="1:13" x14ac:dyDescent="0.35">
      <c r="A60">
        <v>59</v>
      </c>
      <c r="B60" t="s">
        <v>107</v>
      </c>
      <c r="C60" t="s">
        <v>11</v>
      </c>
      <c r="D60" t="s">
        <v>15</v>
      </c>
      <c r="E60">
        <v>21000</v>
      </c>
      <c r="F60" t="s">
        <v>21</v>
      </c>
      <c r="G60">
        <v>7000</v>
      </c>
      <c r="H60" t="s">
        <v>29</v>
      </c>
      <c r="I60">
        <v>2</v>
      </c>
      <c r="J60" t="s">
        <v>38</v>
      </c>
      <c r="K60" t="s">
        <v>34</v>
      </c>
      <c r="L60" t="s">
        <v>50</v>
      </c>
      <c r="M60">
        <v>49000</v>
      </c>
    </row>
    <row r="61" spans="1:13" x14ac:dyDescent="0.35">
      <c r="A61">
        <v>60</v>
      </c>
      <c r="B61" t="s">
        <v>108</v>
      </c>
      <c r="C61" t="s">
        <v>12</v>
      </c>
      <c r="D61" t="s">
        <v>15</v>
      </c>
      <c r="E61">
        <v>17000</v>
      </c>
      <c r="F61" t="s">
        <v>18</v>
      </c>
      <c r="G61">
        <v>7000</v>
      </c>
      <c r="H61" t="s">
        <v>29</v>
      </c>
      <c r="I61">
        <v>3</v>
      </c>
      <c r="J61" t="s">
        <v>37</v>
      </c>
      <c r="K61" t="s">
        <v>31</v>
      </c>
      <c r="L61" t="s">
        <v>48</v>
      </c>
      <c r="M61">
        <v>58000</v>
      </c>
    </row>
    <row r="62" spans="1:13" x14ac:dyDescent="0.35">
      <c r="A62">
        <v>61</v>
      </c>
      <c r="B62" t="s">
        <v>109</v>
      </c>
      <c r="C62" t="s">
        <v>12</v>
      </c>
      <c r="D62" t="s">
        <v>14</v>
      </c>
      <c r="E62">
        <v>22000</v>
      </c>
      <c r="F62" t="s">
        <v>23</v>
      </c>
      <c r="G62">
        <v>7000</v>
      </c>
      <c r="H62" t="s">
        <v>29</v>
      </c>
      <c r="I62">
        <v>1</v>
      </c>
      <c r="J62" t="s">
        <v>38</v>
      </c>
      <c r="K62" t="s">
        <v>31</v>
      </c>
      <c r="L62" t="s">
        <v>50</v>
      </c>
      <c r="M62">
        <v>29000</v>
      </c>
    </row>
    <row r="63" spans="1:13" x14ac:dyDescent="0.35">
      <c r="A63">
        <v>62</v>
      </c>
      <c r="B63" t="s">
        <v>110</v>
      </c>
      <c r="C63" t="s">
        <v>10</v>
      </c>
      <c r="D63" t="s">
        <v>13</v>
      </c>
      <c r="E63">
        <v>28000</v>
      </c>
      <c r="F63" t="s">
        <v>21</v>
      </c>
      <c r="G63">
        <v>7000</v>
      </c>
      <c r="H63" t="s">
        <v>28</v>
      </c>
      <c r="I63">
        <v>3</v>
      </c>
      <c r="J63" t="s">
        <v>38</v>
      </c>
      <c r="K63" t="s">
        <v>31</v>
      </c>
      <c r="L63" t="s">
        <v>50</v>
      </c>
      <c r="M63">
        <v>91000</v>
      </c>
    </row>
    <row r="64" spans="1:13" x14ac:dyDescent="0.35">
      <c r="A64">
        <v>63</v>
      </c>
      <c r="B64" t="s">
        <v>111</v>
      </c>
      <c r="C64" t="s">
        <v>3</v>
      </c>
      <c r="D64" t="s">
        <v>13</v>
      </c>
      <c r="E64">
        <v>30000</v>
      </c>
      <c r="F64" t="s">
        <v>19</v>
      </c>
      <c r="G64">
        <v>7000</v>
      </c>
      <c r="H64" t="s">
        <v>28</v>
      </c>
      <c r="I64">
        <v>1</v>
      </c>
      <c r="J64" t="s">
        <v>38</v>
      </c>
      <c r="K64" t="s">
        <v>33</v>
      </c>
      <c r="L64" t="s">
        <v>50</v>
      </c>
      <c r="M64">
        <v>37000</v>
      </c>
    </row>
    <row r="65" spans="1:13" x14ac:dyDescent="0.35">
      <c r="A65">
        <v>64</v>
      </c>
      <c r="B65" t="s">
        <v>112</v>
      </c>
      <c r="C65" t="s">
        <v>10</v>
      </c>
      <c r="D65" t="s">
        <v>15</v>
      </c>
      <c r="E65">
        <v>20000</v>
      </c>
      <c r="F65" t="s">
        <v>24</v>
      </c>
      <c r="G65">
        <v>5000</v>
      </c>
      <c r="H65" t="s">
        <v>28</v>
      </c>
      <c r="I65">
        <v>1</v>
      </c>
      <c r="J65" t="s">
        <v>38</v>
      </c>
      <c r="K65" t="s">
        <v>34</v>
      </c>
      <c r="L65" t="s">
        <v>50</v>
      </c>
      <c r="M65">
        <v>25000</v>
      </c>
    </row>
    <row r="66" spans="1:13" x14ac:dyDescent="0.35">
      <c r="A66">
        <v>65</v>
      </c>
      <c r="B66" t="s">
        <v>113</v>
      </c>
      <c r="C66" t="s">
        <v>40</v>
      </c>
      <c r="D66" t="s">
        <v>22</v>
      </c>
      <c r="E66">
        <v>12000</v>
      </c>
      <c r="F66" t="s">
        <v>22</v>
      </c>
      <c r="G66">
        <v>0</v>
      </c>
      <c r="H66" t="s">
        <v>22</v>
      </c>
      <c r="I66">
        <v>1</v>
      </c>
      <c r="J66" t="s">
        <v>38</v>
      </c>
      <c r="K66" t="s">
        <v>33</v>
      </c>
      <c r="L66" t="s">
        <v>50</v>
      </c>
      <c r="M66">
        <v>12000</v>
      </c>
    </row>
    <row r="67" spans="1:13" x14ac:dyDescent="0.35">
      <c r="A67">
        <v>66</v>
      </c>
      <c r="B67" t="s">
        <v>114</v>
      </c>
      <c r="C67" t="s">
        <v>3</v>
      </c>
      <c r="D67" t="s">
        <v>14</v>
      </c>
      <c r="E67">
        <v>27000</v>
      </c>
      <c r="F67" t="s">
        <v>18</v>
      </c>
      <c r="G67">
        <v>7000</v>
      </c>
      <c r="H67" t="s">
        <v>29</v>
      </c>
      <c r="I67">
        <v>2</v>
      </c>
      <c r="J67" t="s">
        <v>37</v>
      </c>
      <c r="K67" t="s">
        <v>34</v>
      </c>
      <c r="L67" t="s">
        <v>48</v>
      </c>
      <c r="M67">
        <v>61000</v>
      </c>
    </row>
    <row r="68" spans="1:13" x14ac:dyDescent="0.35">
      <c r="A68">
        <v>67</v>
      </c>
      <c r="B68" t="s">
        <v>115</v>
      </c>
      <c r="C68" t="s">
        <v>12</v>
      </c>
      <c r="D68" t="s">
        <v>15</v>
      </c>
      <c r="E68">
        <v>17000</v>
      </c>
      <c r="F68" t="s">
        <v>21</v>
      </c>
      <c r="G68">
        <v>7000</v>
      </c>
      <c r="H68" t="s">
        <v>29</v>
      </c>
      <c r="I68">
        <v>1</v>
      </c>
      <c r="J68" t="s">
        <v>38</v>
      </c>
      <c r="K68" t="s">
        <v>33</v>
      </c>
      <c r="L68" t="s">
        <v>50</v>
      </c>
      <c r="M68">
        <v>24000</v>
      </c>
    </row>
    <row r="69" spans="1:13" x14ac:dyDescent="0.35">
      <c r="A69">
        <v>68</v>
      </c>
      <c r="B69" t="s">
        <v>116</v>
      </c>
      <c r="C69" t="s">
        <v>11</v>
      </c>
      <c r="D69" t="s">
        <v>15</v>
      </c>
      <c r="E69">
        <v>21000</v>
      </c>
      <c r="F69" t="s">
        <v>21</v>
      </c>
      <c r="G69">
        <v>7000</v>
      </c>
      <c r="H69" t="s">
        <v>28</v>
      </c>
      <c r="I69">
        <v>3</v>
      </c>
      <c r="J69" t="s">
        <v>38</v>
      </c>
      <c r="K69" t="s">
        <v>32</v>
      </c>
      <c r="L69" t="s">
        <v>50</v>
      </c>
      <c r="M69">
        <v>70000</v>
      </c>
    </row>
    <row r="70" spans="1:13" x14ac:dyDescent="0.35">
      <c r="A70">
        <v>69</v>
      </c>
      <c r="B70" t="s">
        <v>117</v>
      </c>
      <c r="C70" t="s">
        <v>4</v>
      </c>
      <c r="D70" t="s">
        <v>13</v>
      </c>
      <c r="E70">
        <v>25000</v>
      </c>
      <c r="F70" t="s">
        <v>21</v>
      </c>
      <c r="G70">
        <v>7000</v>
      </c>
      <c r="H70" t="s">
        <v>29</v>
      </c>
      <c r="I70">
        <v>2</v>
      </c>
      <c r="J70" t="s">
        <v>37</v>
      </c>
      <c r="K70" t="s">
        <v>33</v>
      </c>
      <c r="L70" t="s">
        <v>48</v>
      </c>
      <c r="M70">
        <v>57000</v>
      </c>
    </row>
    <row r="71" spans="1:13" x14ac:dyDescent="0.35">
      <c r="A71">
        <v>70</v>
      </c>
      <c r="B71" t="s">
        <v>118</v>
      </c>
      <c r="C71" t="s">
        <v>12</v>
      </c>
      <c r="D71" t="s">
        <v>15</v>
      </c>
      <c r="E71">
        <v>17000</v>
      </c>
      <c r="F71" t="s">
        <v>23</v>
      </c>
      <c r="G71">
        <v>7000</v>
      </c>
      <c r="H71" t="s">
        <v>29</v>
      </c>
      <c r="I71">
        <v>3</v>
      </c>
      <c r="J71" t="s">
        <v>37</v>
      </c>
      <c r="K71" t="s">
        <v>32</v>
      </c>
      <c r="L71" t="s">
        <v>48</v>
      </c>
      <c r="M71">
        <v>58000</v>
      </c>
    </row>
    <row r="72" spans="1:13" x14ac:dyDescent="0.35">
      <c r="A72">
        <v>71</v>
      </c>
      <c r="B72" t="s">
        <v>119</v>
      </c>
      <c r="C72" t="s">
        <v>9</v>
      </c>
      <c r="D72" t="s">
        <v>15</v>
      </c>
      <c r="E72">
        <v>19000</v>
      </c>
      <c r="F72" t="s">
        <v>18</v>
      </c>
      <c r="G72">
        <v>7000</v>
      </c>
      <c r="H72" t="s">
        <v>28</v>
      </c>
      <c r="I72">
        <v>3</v>
      </c>
      <c r="J72" t="s">
        <v>38</v>
      </c>
      <c r="K72" t="s">
        <v>34</v>
      </c>
      <c r="L72" t="s">
        <v>50</v>
      </c>
      <c r="M72">
        <v>64000</v>
      </c>
    </row>
    <row r="73" spans="1:13" x14ac:dyDescent="0.35">
      <c r="A73">
        <v>72</v>
      </c>
      <c r="B73" t="s">
        <v>120</v>
      </c>
      <c r="C73" t="s">
        <v>3</v>
      </c>
      <c r="D73" t="s">
        <v>14</v>
      </c>
      <c r="E73">
        <v>27000</v>
      </c>
      <c r="F73" t="s">
        <v>20</v>
      </c>
      <c r="G73">
        <v>5000</v>
      </c>
      <c r="H73" t="s">
        <v>29</v>
      </c>
      <c r="I73">
        <v>1</v>
      </c>
      <c r="J73" t="s">
        <v>37</v>
      </c>
      <c r="K73" t="s">
        <v>31</v>
      </c>
      <c r="L73" t="s">
        <v>48</v>
      </c>
      <c r="M73">
        <v>32000</v>
      </c>
    </row>
    <row r="74" spans="1:13" x14ac:dyDescent="0.35">
      <c r="A74">
        <v>73</v>
      </c>
      <c r="B74" t="s">
        <v>121</v>
      </c>
      <c r="C74" t="s">
        <v>7</v>
      </c>
      <c r="D74" t="s">
        <v>13</v>
      </c>
      <c r="E74">
        <v>29000</v>
      </c>
      <c r="F74" t="s">
        <v>24</v>
      </c>
      <c r="G74">
        <v>5000</v>
      </c>
      <c r="H74" t="s">
        <v>28</v>
      </c>
      <c r="I74">
        <v>1</v>
      </c>
      <c r="J74" t="s">
        <v>38</v>
      </c>
      <c r="K74" t="s">
        <v>33</v>
      </c>
      <c r="L74" t="s">
        <v>50</v>
      </c>
      <c r="M74">
        <v>34000</v>
      </c>
    </row>
    <row r="75" spans="1:13" x14ac:dyDescent="0.35">
      <c r="A75">
        <v>74</v>
      </c>
      <c r="B75" t="s">
        <v>122</v>
      </c>
      <c r="C75" t="s">
        <v>6</v>
      </c>
      <c r="D75" t="s">
        <v>13</v>
      </c>
      <c r="E75">
        <v>25000</v>
      </c>
      <c r="F75" t="s">
        <v>18</v>
      </c>
      <c r="G75">
        <v>7000</v>
      </c>
      <c r="H75" t="s">
        <v>29</v>
      </c>
      <c r="I75">
        <v>2</v>
      </c>
      <c r="J75" t="s">
        <v>38</v>
      </c>
      <c r="K75" t="s">
        <v>33</v>
      </c>
      <c r="L75" t="s">
        <v>50</v>
      </c>
      <c r="M75">
        <v>57000</v>
      </c>
    </row>
    <row r="76" spans="1:13" x14ac:dyDescent="0.35">
      <c r="A76">
        <v>75</v>
      </c>
      <c r="B76" t="s">
        <v>123</v>
      </c>
      <c r="C76" t="s">
        <v>7</v>
      </c>
      <c r="D76" t="s">
        <v>13</v>
      </c>
      <c r="E76">
        <v>29000</v>
      </c>
      <c r="F76" t="s">
        <v>24</v>
      </c>
      <c r="G76">
        <v>5000</v>
      </c>
      <c r="H76" t="s">
        <v>28</v>
      </c>
      <c r="I76">
        <v>3</v>
      </c>
      <c r="J76" t="s">
        <v>38</v>
      </c>
      <c r="K76" t="s">
        <v>31</v>
      </c>
      <c r="L76" t="s">
        <v>50</v>
      </c>
      <c r="M76">
        <v>92000</v>
      </c>
    </row>
    <row r="77" spans="1:13" x14ac:dyDescent="0.35">
      <c r="A77">
        <v>76</v>
      </c>
      <c r="B77" t="s">
        <v>124</v>
      </c>
      <c r="C77" t="s">
        <v>25</v>
      </c>
      <c r="D77" t="s">
        <v>14</v>
      </c>
      <c r="E77">
        <v>25000</v>
      </c>
      <c r="F77" t="s">
        <v>21</v>
      </c>
      <c r="G77">
        <v>7000</v>
      </c>
      <c r="H77" t="s">
        <v>28</v>
      </c>
      <c r="I77">
        <v>1</v>
      </c>
      <c r="J77" t="s">
        <v>38</v>
      </c>
      <c r="K77" t="s">
        <v>34</v>
      </c>
      <c r="L77" t="s">
        <v>50</v>
      </c>
      <c r="M77">
        <v>32000</v>
      </c>
    </row>
    <row r="78" spans="1:13" x14ac:dyDescent="0.35">
      <c r="A78">
        <v>77</v>
      </c>
      <c r="B78" t="s">
        <v>125</v>
      </c>
      <c r="C78" t="s">
        <v>5</v>
      </c>
      <c r="D78" t="s">
        <v>15</v>
      </c>
      <c r="E78">
        <v>20000</v>
      </c>
      <c r="F78" t="s">
        <v>21</v>
      </c>
      <c r="G78">
        <v>7000</v>
      </c>
      <c r="H78" t="s">
        <v>28</v>
      </c>
      <c r="I78">
        <v>3</v>
      </c>
      <c r="J78" t="s">
        <v>37</v>
      </c>
      <c r="K78" t="s">
        <v>32</v>
      </c>
      <c r="L78" t="s">
        <v>48</v>
      </c>
      <c r="M78">
        <v>67000</v>
      </c>
    </row>
    <row r="79" spans="1:13" x14ac:dyDescent="0.35">
      <c r="A79">
        <v>78</v>
      </c>
      <c r="B79" t="s">
        <v>126</v>
      </c>
      <c r="C79" t="s">
        <v>4</v>
      </c>
      <c r="D79" t="s">
        <v>15</v>
      </c>
      <c r="E79">
        <v>17000</v>
      </c>
      <c r="F79" t="s">
        <v>24</v>
      </c>
      <c r="G79">
        <v>5000</v>
      </c>
      <c r="H79" t="s">
        <v>29</v>
      </c>
      <c r="I79">
        <v>2</v>
      </c>
      <c r="J79" t="s">
        <v>37</v>
      </c>
      <c r="K79" t="s">
        <v>34</v>
      </c>
      <c r="L79" t="s">
        <v>48</v>
      </c>
      <c r="M79">
        <v>39000</v>
      </c>
    </row>
    <row r="80" spans="1:13" x14ac:dyDescent="0.35">
      <c r="A80">
        <v>79</v>
      </c>
      <c r="B80" t="s">
        <v>127</v>
      </c>
      <c r="C80" t="s">
        <v>9</v>
      </c>
      <c r="D80" t="s">
        <v>15</v>
      </c>
      <c r="E80">
        <v>19000</v>
      </c>
      <c r="F80" t="s">
        <v>22</v>
      </c>
      <c r="G80">
        <v>0</v>
      </c>
      <c r="H80" t="s">
        <v>28</v>
      </c>
      <c r="I80">
        <v>3</v>
      </c>
      <c r="J80" t="s">
        <v>38</v>
      </c>
      <c r="K80" t="s">
        <v>32</v>
      </c>
      <c r="L80" t="s">
        <v>50</v>
      </c>
      <c r="M80">
        <v>57000</v>
      </c>
    </row>
    <row r="81" spans="1:13" x14ac:dyDescent="0.35">
      <c r="A81">
        <v>80</v>
      </c>
      <c r="B81" t="s">
        <v>128</v>
      </c>
      <c r="C81" t="s">
        <v>9</v>
      </c>
      <c r="D81" t="s">
        <v>14</v>
      </c>
      <c r="E81">
        <v>24000</v>
      </c>
      <c r="F81" t="s">
        <v>20</v>
      </c>
      <c r="G81">
        <v>5000</v>
      </c>
      <c r="H81" t="s">
        <v>29</v>
      </c>
      <c r="I81">
        <v>3</v>
      </c>
      <c r="J81" t="s">
        <v>38</v>
      </c>
      <c r="K81" t="s">
        <v>34</v>
      </c>
      <c r="L81" t="s">
        <v>50</v>
      </c>
      <c r="M81">
        <v>77000</v>
      </c>
    </row>
    <row r="82" spans="1:13" x14ac:dyDescent="0.35">
      <c r="A82">
        <v>81</v>
      </c>
      <c r="B82" t="s">
        <v>129</v>
      </c>
      <c r="C82" t="s">
        <v>7</v>
      </c>
      <c r="D82" t="s">
        <v>13</v>
      </c>
      <c r="E82">
        <v>29000</v>
      </c>
      <c r="F82" t="s">
        <v>18</v>
      </c>
      <c r="G82">
        <v>7000</v>
      </c>
      <c r="H82" t="s">
        <v>28</v>
      </c>
      <c r="I82">
        <v>2</v>
      </c>
      <c r="J82" t="s">
        <v>38</v>
      </c>
      <c r="K82" t="s">
        <v>31</v>
      </c>
      <c r="L82" t="s">
        <v>50</v>
      </c>
      <c r="M82">
        <v>65000</v>
      </c>
    </row>
    <row r="83" spans="1:13" x14ac:dyDescent="0.35">
      <c r="A83">
        <v>82</v>
      </c>
      <c r="B83" t="s">
        <v>130</v>
      </c>
      <c r="C83" t="s">
        <v>10</v>
      </c>
      <c r="D83" t="s">
        <v>15</v>
      </c>
      <c r="E83">
        <v>20000</v>
      </c>
      <c r="F83" t="s">
        <v>18</v>
      </c>
      <c r="G83">
        <v>7000</v>
      </c>
      <c r="H83" t="s">
        <v>28</v>
      </c>
      <c r="I83">
        <v>2</v>
      </c>
      <c r="J83" t="s">
        <v>37</v>
      </c>
      <c r="K83" t="s">
        <v>33</v>
      </c>
      <c r="L83" t="s">
        <v>48</v>
      </c>
      <c r="M83">
        <v>47000</v>
      </c>
    </row>
    <row r="84" spans="1:13" x14ac:dyDescent="0.35">
      <c r="A84">
        <v>83</v>
      </c>
      <c r="B84" t="s">
        <v>131</v>
      </c>
      <c r="C84" t="s">
        <v>8</v>
      </c>
      <c r="D84" t="s">
        <v>14</v>
      </c>
      <c r="E84">
        <v>22000</v>
      </c>
      <c r="F84" t="s">
        <v>20</v>
      </c>
      <c r="G84">
        <v>5000</v>
      </c>
      <c r="H84" t="s">
        <v>29</v>
      </c>
      <c r="I84">
        <v>2</v>
      </c>
      <c r="J84" t="s">
        <v>38</v>
      </c>
      <c r="K84" t="s">
        <v>33</v>
      </c>
      <c r="L84" t="s">
        <v>50</v>
      </c>
      <c r="M84">
        <v>49000</v>
      </c>
    </row>
    <row r="85" spans="1:13" x14ac:dyDescent="0.35">
      <c r="A85">
        <v>84</v>
      </c>
      <c r="B85" t="s">
        <v>132</v>
      </c>
      <c r="C85" t="s">
        <v>11</v>
      </c>
      <c r="D85" t="s">
        <v>13</v>
      </c>
      <c r="E85">
        <v>28000</v>
      </c>
      <c r="F85" t="s">
        <v>21</v>
      </c>
      <c r="G85">
        <v>7000</v>
      </c>
      <c r="H85" t="s">
        <v>28</v>
      </c>
      <c r="I85">
        <v>2</v>
      </c>
      <c r="J85" t="s">
        <v>38</v>
      </c>
      <c r="K85" t="s">
        <v>31</v>
      </c>
      <c r="L85" t="s">
        <v>50</v>
      </c>
      <c r="M85">
        <v>63000</v>
      </c>
    </row>
    <row r="86" spans="1:13" x14ac:dyDescent="0.35">
      <c r="A86">
        <v>85</v>
      </c>
      <c r="B86" t="s">
        <v>133</v>
      </c>
      <c r="C86" t="s">
        <v>8</v>
      </c>
      <c r="D86" t="s">
        <v>14</v>
      </c>
      <c r="E86">
        <v>22000</v>
      </c>
      <c r="F86" t="s">
        <v>24</v>
      </c>
      <c r="G86">
        <v>5000</v>
      </c>
      <c r="H86" t="s">
        <v>28</v>
      </c>
      <c r="I86">
        <v>7</v>
      </c>
      <c r="J86" t="s">
        <v>38</v>
      </c>
      <c r="K86" t="s">
        <v>33</v>
      </c>
      <c r="L86" t="s">
        <v>50</v>
      </c>
      <c r="M86">
        <v>159000</v>
      </c>
    </row>
    <row r="87" spans="1:13" x14ac:dyDescent="0.35">
      <c r="A87">
        <v>86</v>
      </c>
      <c r="B87" t="s">
        <v>134</v>
      </c>
      <c r="C87" t="s">
        <v>5</v>
      </c>
      <c r="D87" t="s">
        <v>14</v>
      </c>
      <c r="E87">
        <v>24000</v>
      </c>
      <c r="F87" t="s">
        <v>22</v>
      </c>
      <c r="G87">
        <v>0</v>
      </c>
      <c r="H87" t="s">
        <v>29</v>
      </c>
      <c r="I87">
        <v>3</v>
      </c>
      <c r="J87" t="s">
        <v>37</v>
      </c>
      <c r="K87" t="s">
        <v>33</v>
      </c>
      <c r="L87" t="s">
        <v>48</v>
      </c>
      <c r="M87">
        <v>72000</v>
      </c>
    </row>
    <row r="88" spans="1:13" x14ac:dyDescent="0.35">
      <c r="A88">
        <v>87</v>
      </c>
      <c r="B88" t="s">
        <v>135</v>
      </c>
      <c r="C88" t="s">
        <v>9</v>
      </c>
      <c r="D88" t="s">
        <v>13</v>
      </c>
      <c r="E88">
        <v>27000</v>
      </c>
      <c r="F88" t="s">
        <v>20</v>
      </c>
      <c r="G88">
        <v>5000</v>
      </c>
      <c r="H88" t="s">
        <v>29</v>
      </c>
      <c r="I88">
        <v>2</v>
      </c>
      <c r="J88" t="s">
        <v>37</v>
      </c>
      <c r="K88" t="s">
        <v>31</v>
      </c>
      <c r="L88" t="s">
        <v>48</v>
      </c>
      <c r="M88">
        <v>59000</v>
      </c>
    </row>
    <row r="89" spans="1:13" x14ac:dyDescent="0.35">
      <c r="A89">
        <v>88</v>
      </c>
      <c r="B89" t="s">
        <v>136</v>
      </c>
      <c r="C89" t="s">
        <v>10</v>
      </c>
      <c r="D89" t="s">
        <v>13</v>
      </c>
      <c r="E89">
        <v>28000</v>
      </c>
      <c r="F89" t="s">
        <v>18</v>
      </c>
      <c r="G89">
        <v>7000</v>
      </c>
      <c r="H89" t="s">
        <v>28</v>
      </c>
      <c r="I89">
        <v>1</v>
      </c>
      <c r="J89" t="s">
        <v>38</v>
      </c>
      <c r="K89" t="s">
        <v>33</v>
      </c>
      <c r="L89" t="s">
        <v>50</v>
      </c>
      <c r="M89">
        <v>35000</v>
      </c>
    </row>
    <row r="90" spans="1:13" x14ac:dyDescent="0.35">
      <c r="A90">
        <v>89</v>
      </c>
      <c r="B90" t="s">
        <v>137</v>
      </c>
      <c r="C90" t="s">
        <v>6</v>
      </c>
      <c r="D90" t="s">
        <v>15</v>
      </c>
      <c r="E90">
        <v>17000</v>
      </c>
      <c r="F90" t="s">
        <v>20</v>
      </c>
      <c r="G90">
        <v>5000</v>
      </c>
      <c r="H90" t="s">
        <v>29</v>
      </c>
      <c r="I90">
        <v>1</v>
      </c>
      <c r="J90" t="s">
        <v>38</v>
      </c>
      <c r="K90" t="s">
        <v>32</v>
      </c>
      <c r="L90" t="s">
        <v>50</v>
      </c>
      <c r="M90">
        <v>22000</v>
      </c>
    </row>
    <row r="91" spans="1:13" x14ac:dyDescent="0.35">
      <c r="A91">
        <v>90</v>
      </c>
      <c r="B91" t="s">
        <v>138</v>
      </c>
      <c r="C91" t="s">
        <v>9</v>
      </c>
      <c r="D91" t="s">
        <v>13</v>
      </c>
      <c r="E91">
        <v>27000</v>
      </c>
      <c r="F91" t="s">
        <v>19</v>
      </c>
      <c r="G91">
        <v>7000</v>
      </c>
      <c r="H91" t="s">
        <v>29</v>
      </c>
      <c r="I91">
        <v>1</v>
      </c>
      <c r="J91" t="s">
        <v>38</v>
      </c>
      <c r="K91" t="s">
        <v>32</v>
      </c>
      <c r="L91" t="s">
        <v>50</v>
      </c>
      <c r="M91">
        <v>34000</v>
      </c>
    </row>
    <row r="92" spans="1:13" x14ac:dyDescent="0.35">
      <c r="A92">
        <v>91</v>
      </c>
      <c r="B92" t="s">
        <v>139</v>
      </c>
      <c r="C92" t="s">
        <v>3</v>
      </c>
      <c r="D92" t="s">
        <v>14</v>
      </c>
      <c r="E92">
        <v>27000</v>
      </c>
      <c r="F92" t="s">
        <v>24</v>
      </c>
      <c r="G92">
        <v>5000</v>
      </c>
      <c r="H92" t="s">
        <v>29</v>
      </c>
      <c r="I92">
        <v>3</v>
      </c>
      <c r="J92" t="s">
        <v>37</v>
      </c>
      <c r="K92" t="s">
        <v>32</v>
      </c>
      <c r="L92" t="s">
        <v>48</v>
      </c>
      <c r="M92">
        <v>86000</v>
      </c>
    </row>
    <row r="93" spans="1:13" x14ac:dyDescent="0.35">
      <c r="A93">
        <v>92</v>
      </c>
      <c r="B93" t="s">
        <v>140</v>
      </c>
      <c r="C93" t="s">
        <v>40</v>
      </c>
      <c r="D93" t="s">
        <v>22</v>
      </c>
      <c r="E93">
        <v>12000</v>
      </c>
      <c r="F93" t="s">
        <v>22</v>
      </c>
      <c r="G93">
        <v>0</v>
      </c>
      <c r="H93" t="s">
        <v>22</v>
      </c>
      <c r="I93">
        <v>2</v>
      </c>
      <c r="J93" t="s">
        <v>38</v>
      </c>
      <c r="K93" t="s">
        <v>32</v>
      </c>
      <c r="L93" t="s">
        <v>50</v>
      </c>
      <c r="M93">
        <v>24000</v>
      </c>
    </row>
    <row r="94" spans="1:13" x14ac:dyDescent="0.35">
      <c r="A94">
        <v>93</v>
      </c>
      <c r="B94" t="s">
        <v>141</v>
      </c>
      <c r="C94" t="s">
        <v>7</v>
      </c>
      <c r="D94" t="s">
        <v>15</v>
      </c>
      <c r="E94">
        <v>22000</v>
      </c>
      <c r="F94" t="s">
        <v>20</v>
      </c>
      <c r="G94">
        <v>5000</v>
      </c>
      <c r="H94" t="s">
        <v>29</v>
      </c>
      <c r="I94">
        <v>12</v>
      </c>
      <c r="J94" t="s">
        <v>38</v>
      </c>
      <c r="K94" t="s">
        <v>34</v>
      </c>
      <c r="L94" t="s">
        <v>50</v>
      </c>
      <c r="M94">
        <v>269000</v>
      </c>
    </row>
    <row r="95" spans="1:13" x14ac:dyDescent="0.35">
      <c r="A95">
        <v>94</v>
      </c>
      <c r="B95" t="s">
        <v>142</v>
      </c>
      <c r="C95" t="s">
        <v>4</v>
      </c>
      <c r="D95" t="s">
        <v>14</v>
      </c>
      <c r="E95">
        <v>22000</v>
      </c>
      <c r="F95" t="s">
        <v>24</v>
      </c>
      <c r="G95">
        <v>5000</v>
      </c>
      <c r="H95" t="s">
        <v>29</v>
      </c>
      <c r="I95">
        <v>2</v>
      </c>
      <c r="J95" t="s">
        <v>38</v>
      </c>
      <c r="K95" t="s">
        <v>33</v>
      </c>
      <c r="L95" t="s">
        <v>50</v>
      </c>
      <c r="M95">
        <v>49000</v>
      </c>
    </row>
    <row r="96" spans="1:13" x14ac:dyDescent="0.35">
      <c r="A96">
        <v>95</v>
      </c>
      <c r="B96" t="s">
        <v>143</v>
      </c>
      <c r="C96" t="s">
        <v>6</v>
      </c>
      <c r="D96" t="s">
        <v>13</v>
      </c>
      <c r="E96">
        <v>25000</v>
      </c>
      <c r="F96" t="s">
        <v>21</v>
      </c>
      <c r="G96">
        <v>7000</v>
      </c>
      <c r="H96" t="s">
        <v>28</v>
      </c>
      <c r="I96">
        <v>3</v>
      </c>
      <c r="J96" t="s">
        <v>37</v>
      </c>
      <c r="K96" t="s">
        <v>31</v>
      </c>
      <c r="L96" t="s">
        <v>48</v>
      </c>
      <c r="M96">
        <v>82000</v>
      </c>
    </row>
    <row r="97" spans="1:13" x14ac:dyDescent="0.35">
      <c r="A97">
        <v>96</v>
      </c>
      <c r="B97" t="s">
        <v>144</v>
      </c>
      <c r="C97" t="s">
        <v>12</v>
      </c>
      <c r="D97" t="s">
        <v>13</v>
      </c>
      <c r="E97">
        <v>25000</v>
      </c>
      <c r="F97" t="s">
        <v>22</v>
      </c>
      <c r="G97">
        <v>0</v>
      </c>
      <c r="H97" t="s">
        <v>28</v>
      </c>
      <c r="I97">
        <v>4</v>
      </c>
      <c r="J97" t="s">
        <v>38</v>
      </c>
      <c r="K97" t="s">
        <v>34</v>
      </c>
      <c r="L97" t="s">
        <v>50</v>
      </c>
      <c r="M97">
        <v>100000</v>
      </c>
    </row>
    <row r="98" spans="1:13" x14ac:dyDescent="0.35">
      <c r="A98">
        <v>97</v>
      </c>
      <c r="B98" t="s">
        <v>145</v>
      </c>
      <c r="C98" t="s">
        <v>10</v>
      </c>
      <c r="D98" t="s">
        <v>13</v>
      </c>
      <c r="E98">
        <v>28000</v>
      </c>
      <c r="F98" t="s">
        <v>21</v>
      </c>
      <c r="G98">
        <v>7000</v>
      </c>
      <c r="H98" t="s">
        <v>28</v>
      </c>
      <c r="I98">
        <v>1</v>
      </c>
      <c r="J98" t="s">
        <v>38</v>
      </c>
      <c r="K98" t="s">
        <v>32</v>
      </c>
      <c r="L98" t="s">
        <v>50</v>
      </c>
      <c r="M98">
        <v>35000</v>
      </c>
    </row>
    <row r="99" spans="1:13" x14ac:dyDescent="0.35">
      <c r="A99">
        <v>98</v>
      </c>
      <c r="B99" t="s">
        <v>146</v>
      </c>
      <c r="C99" t="s">
        <v>12</v>
      </c>
      <c r="D99" t="s">
        <v>14</v>
      </c>
      <c r="E99">
        <v>22000</v>
      </c>
      <c r="F99" t="s">
        <v>18</v>
      </c>
      <c r="G99">
        <v>7000</v>
      </c>
      <c r="H99" t="s">
        <v>28</v>
      </c>
      <c r="I99">
        <v>1</v>
      </c>
      <c r="J99" t="s">
        <v>38</v>
      </c>
      <c r="K99" t="s">
        <v>31</v>
      </c>
      <c r="L99" t="s">
        <v>50</v>
      </c>
      <c r="M99">
        <v>29000</v>
      </c>
    </row>
    <row r="100" spans="1:13" x14ac:dyDescent="0.35">
      <c r="A100">
        <v>99</v>
      </c>
      <c r="B100" t="s">
        <v>147</v>
      </c>
      <c r="C100" t="s">
        <v>9</v>
      </c>
      <c r="D100" t="s">
        <v>13</v>
      </c>
      <c r="E100">
        <v>27000</v>
      </c>
      <c r="F100" t="s">
        <v>24</v>
      </c>
      <c r="G100">
        <v>5000</v>
      </c>
      <c r="H100" t="s">
        <v>29</v>
      </c>
      <c r="I100">
        <v>2</v>
      </c>
      <c r="J100" t="s">
        <v>37</v>
      </c>
      <c r="K100" t="s">
        <v>34</v>
      </c>
      <c r="L100" t="s">
        <v>48</v>
      </c>
      <c r="M100">
        <v>59000</v>
      </c>
    </row>
    <row r="101" spans="1:13" x14ac:dyDescent="0.35">
      <c r="A101">
        <v>100</v>
      </c>
      <c r="B101" t="s">
        <v>148</v>
      </c>
      <c r="C101" t="s">
        <v>9</v>
      </c>
      <c r="D101" t="s">
        <v>13</v>
      </c>
      <c r="E101">
        <v>27000</v>
      </c>
      <c r="F101" t="s">
        <v>24</v>
      </c>
      <c r="G101">
        <v>5000</v>
      </c>
      <c r="H101" t="s">
        <v>28</v>
      </c>
      <c r="I101">
        <v>2</v>
      </c>
      <c r="J101" t="s">
        <v>38</v>
      </c>
      <c r="K101" t="s">
        <v>33</v>
      </c>
      <c r="L101" t="s">
        <v>50</v>
      </c>
      <c r="M101">
        <v>59000</v>
      </c>
    </row>
  </sheetData>
  <autoFilter ref="A1:M101" xr:uid="{97EC7122-21FB-4D4F-954B-E77ACE137CCB}"/>
  <mergeCells count="6">
    <mergeCell ref="R4:S4"/>
    <mergeCell ref="R11:S11"/>
    <mergeCell ref="R10:S10"/>
    <mergeCell ref="R9:S9"/>
    <mergeCell ref="R6:S6"/>
    <mergeCell ref="R5:S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Sales_Report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Rizky</dc:creator>
  <cp:lastModifiedBy>Farhan Rizky</cp:lastModifiedBy>
  <dcterms:created xsi:type="dcterms:W3CDTF">2026-03-17T12:30:23Z</dcterms:created>
  <dcterms:modified xsi:type="dcterms:W3CDTF">2026-03-19T03:22:50Z</dcterms:modified>
</cp:coreProperties>
</file>